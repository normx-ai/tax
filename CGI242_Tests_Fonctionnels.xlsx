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Tableau de Bord" sheetId="1" state="visible" r:id="rId1"/>
    <sheet xmlns:r="http://schemas.openxmlformats.org/officeDocument/2006/relationships" name="🧪 Tests" sheetId="2" state="visible" r:id="rId2"/>
    <sheet xmlns:r="http://schemas.openxmlformats.org/officeDocument/2006/relationships" name="🐛 Bugs &amp; Évolutions" sheetId="3" state="visible" r:id="rId3"/>
    <sheet xmlns:r="http://schemas.openxmlformats.org/officeDocument/2006/relationships" name="📘 Guide" sheetId="4" state="visible" r:id="rId4"/>
  </sheets>
  <definedNames>
    <definedName name="_xlnm._FilterDatabase" localSheetId="1" hidden="1">'🧪 Tests'!$A$3:$K$3</definedName>
    <definedName name="_xlnm._FilterDatabase" localSheetId="2" hidden="1">'🐛 Bugs &amp; Évolutions'!$A$3:$I$3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8A9BB0"/>
      <sz val="10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color rgb="001F2937"/>
      <sz val="10"/>
    </font>
    <font>
      <name val="Calibri"/>
      <b val="1"/>
      <color rgb="002471A3"/>
      <sz val="10"/>
    </font>
    <font>
      <name val="Calibri"/>
      <b val="1"/>
      <color rgb="00FFFFFF"/>
      <sz val="11"/>
    </font>
    <font>
      <name val="Calibri"/>
      <color rgb="001F2937"/>
      <sz val="9"/>
    </font>
    <font>
      <name val="Calibri"/>
      <color rgb="006B7280"/>
      <sz val="9"/>
    </font>
    <font>
      <name val="Calibri"/>
      <b val="1"/>
      <color rgb="00B91C1C"/>
      <sz val="9"/>
    </font>
    <font>
      <name val="Calibri"/>
      <b val="1"/>
      <color rgb="0092400E"/>
      <sz val="9"/>
    </font>
  </fonts>
  <fills count="9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D4A843"/>
        <bgColor rgb="00D4A843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EBF5FB"/>
        <bgColor rgb="00EBF5F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22" customWidth="1" min="9" max="9"/>
  </cols>
  <sheetData>
    <row r="1" ht="40" customHeight="1">
      <c r="A1" s="1" t="inlineStr">
        <is>
          <t>NORMX Tax 2026 — Plan de Tests Fonctionnels</t>
        </is>
      </c>
      <c r="B1" s="21" t="n"/>
      <c r="C1" s="21" t="n"/>
      <c r="D1" s="21" t="n"/>
      <c r="E1" s="21" t="n"/>
      <c r="F1" s="21" t="n"/>
      <c r="G1" s="21" t="n"/>
      <c r="H1" s="21" t="n"/>
      <c r="I1" s="22" t="n"/>
    </row>
    <row r="2">
      <c r="A2" s="2" t="inlineStr">
        <is>
          <t>NORMX AI SAS  ·  Testeur : Christelle  ·  Version 3.0 (Keycloak SSO + Schema PG + Landing Pennylane)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</row>
    <row r="3" ht="8" customHeight="1"/>
    <row r="4">
      <c r="A4" s="3" t="inlineStr">
        <is>
          <t>Module</t>
        </is>
      </c>
      <c r="B4" s="3" t="inlineStr"/>
      <c r="C4" s="3" t="inlineStr">
        <is>
          <t>Tests</t>
        </is>
      </c>
      <c r="D4" s="3" t="inlineStr">
        <is>
          <t>✅ PASS</t>
        </is>
      </c>
      <c r="E4" s="3" t="inlineStr">
        <is>
          <t>❌ FAIL</t>
        </is>
      </c>
      <c r="F4" s="3" t="inlineStr">
        <is>
          <t>⚠️ PARTIEL</t>
        </is>
      </c>
      <c r="G4" s="3" t="inlineStr">
        <is>
          <t>☐ À tester</t>
        </is>
      </c>
      <c r="H4" s="3" t="inlineStr">
        <is>
          <t>% Avancement</t>
        </is>
      </c>
      <c r="I4" s="3" t="inlineStr">
        <is>
          <t>Clé filtre</t>
        </is>
      </c>
    </row>
    <row r="5">
      <c r="A5" s="4" t="inlineStr">
        <is>
          <t>🔐  Authentification</t>
        </is>
      </c>
      <c r="B5" s="4" t="inlineStr">
        <is>
          <t>🔐</t>
        </is>
      </c>
      <c r="C5" s="5" t="n">
        <v>6</v>
      </c>
      <c r="D5" s="5">
        <f>COUNTIFS('🧪 Tests'!A:A,I5,'🧪 Tests'!G:G,"✅ PASS")</f>
        <v/>
      </c>
      <c r="E5" s="5">
        <f>COUNTIFS('🧪 Tests'!A:A,I5,'🧪 Tests'!G:G,"❌ FAIL")</f>
        <v/>
      </c>
      <c r="F5" s="5">
        <f>COUNTIFS('🧪 Tests'!A:A,I5,'🧪 Tests'!G:G,"⚠️ PARTIEL")</f>
        <v/>
      </c>
      <c r="G5" s="5">
        <f>COUNTIFS('🧪 Tests'!A:A,I5,'🧪 Tests'!G:G,"☐ À tester")</f>
        <v/>
      </c>
      <c r="H5" s="5">
        <f>IF(C5&gt;0,ROUND((D5+F5*0.5)/C5*100,1)&amp;"%","0%")</f>
        <v/>
      </c>
      <c r="I5" s="4" t="inlineStr">
        <is>
          <t>Authentification</t>
        </is>
      </c>
    </row>
    <row r="6">
      <c r="A6" s="6" t="inlineStr">
        <is>
          <t>🏠  Accueil (Home)</t>
        </is>
      </c>
      <c r="B6" s="6" t="inlineStr">
        <is>
          <t>🏠</t>
        </is>
      </c>
      <c r="C6" s="7" t="n">
        <v>4</v>
      </c>
      <c r="D6" s="7">
        <f>COUNTIFS('🧪 Tests'!A:A,I6,'🧪 Tests'!G:G,"✅ PASS")</f>
        <v/>
      </c>
      <c r="E6" s="7">
        <f>COUNTIFS('🧪 Tests'!A:A,I6,'🧪 Tests'!G:G,"❌ FAIL")</f>
        <v/>
      </c>
      <c r="F6" s="7">
        <f>COUNTIFS('🧪 Tests'!A:A,I6,'🧪 Tests'!G:G,"⚠️ PARTIEL")</f>
        <v/>
      </c>
      <c r="G6" s="7">
        <f>COUNTIFS('🧪 Tests'!A:A,I6,'🧪 Tests'!G:G,"☐ À tester")</f>
        <v/>
      </c>
      <c r="H6" s="7">
        <f>IF(C6&gt;0,ROUND((D6+F6*0.5)/C6*100,1)&amp;"%","0%")</f>
        <v/>
      </c>
      <c r="I6" s="6" t="inlineStr">
        <is>
          <t>Accueil (Home)</t>
        </is>
      </c>
    </row>
    <row r="7">
      <c r="A7" s="4" t="inlineStr">
        <is>
          <t>📖  Navigation CGI</t>
        </is>
      </c>
      <c r="B7" s="4" t="inlineStr">
        <is>
          <t>📖</t>
        </is>
      </c>
      <c r="C7" s="5" t="n">
        <v>13</v>
      </c>
      <c r="D7" s="5">
        <f>COUNTIFS('🧪 Tests'!A:A,I7,'🧪 Tests'!G:G,"✅ PASS")</f>
        <v/>
      </c>
      <c r="E7" s="5">
        <f>COUNTIFS('🧪 Tests'!A:A,I7,'🧪 Tests'!G:G,"❌ FAIL")</f>
        <v/>
      </c>
      <c r="F7" s="5">
        <f>COUNTIFS('🧪 Tests'!A:A,I7,'🧪 Tests'!G:G,"⚠️ PARTIEL")</f>
        <v/>
      </c>
      <c r="G7" s="5">
        <f>COUNTIFS('🧪 Tests'!A:A,I7,'🧪 Tests'!G:G,"☐ À tester")</f>
        <v/>
      </c>
      <c r="H7" s="5">
        <f>IF(C7&gt;0,ROUND((D7+F7*0.5)/C7*100,1)&amp;"%","0%")</f>
        <v/>
      </c>
      <c r="I7" s="4" t="inlineStr">
        <is>
          <t>Navigation CGI</t>
        </is>
      </c>
    </row>
    <row r="8">
      <c r="A8" s="6" t="inlineStr">
        <is>
          <t>🔍  Recherche</t>
        </is>
      </c>
      <c r="B8" s="6" t="inlineStr">
        <is>
          <t>🔍</t>
        </is>
      </c>
      <c r="C8" s="7" t="n">
        <v>6</v>
      </c>
      <c r="D8" s="7">
        <f>COUNTIFS('🧪 Tests'!A:A,I8,'🧪 Tests'!G:G,"✅ PASS")</f>
        <v/>
      </c>
      <c r="E8" s="7">
        <f>COUNTIFS('🧪 Tests'!A:A,I8,'🧪 Tests'!G:G,"❌ FAIL")</f>
        <v/>
      </c>
      <c r="F8" s="7">
        <f>COUNTIFS('🧪 Tests'!A:A,I8,'🧪 Tests'!G:G,"⚠️ PARTIEL")</f>
        <v/>
      </c>
      <c r="G8" s="7">
        <f>COUNTIFS('🧪 Tests'!A:A,I8,'🧪 Tests'!G:G,"☐ À tester")</f>
        <v/>
      </c>
      <c r="H8" s="7">
        <f>IF(C8&gt;0,ROUND((D8+F8*0.5)/C8*100,1)&amp;"%","0%")</f>
        <v/>
      </c>
      <c r="I8" s="6" t="inlineStr">
        <is>
          <t>Recherche</t>
        </is>
      </c>
    </row>
    <row r="9">
      <c r="A9" s="4" t="inlineStr">
        <is>
          <t>📊  Simulateurs</t>
        </is>
      </c>
      <c r="B9" s="4" t="inlineStr">
        <is>
          <t>📊</t>
        </is>
      </c>
      <c r="C9" s="5" t="n">
        <v>19</v>
      </c>
      <c r="D9" s="5">
        <f>COUNTIFS('🧪 Tests'!A:A,I9,'🧪 Tests'!G:G,"✅ PASS")</f>
        <v/>
      </c>
      <c r="E9" s="5">
        <f>COUNTIFS('🧪 Tests'!A:A,I9,'🧪 Tests'!G:G,"❌ FAIL")</f>
        <v/>
      </c>
      <c r="F9" s="5">
        <f>COUNTIFS('🧪 Tests'!A:A,I9,'🧪 Tests'!G:G,"⚠️ PARTIEL")</f>
        <v/>
      </c>
      <c r="G9" s="5">
        <f>COUNTIFS('🧪 Tests'!A:A,I9,'🧪 Tests'!G:G,"☐ À tester")</f>
        <v/>
      </c>
      <c r="H9" s="5">
        <f>IF(C9&gt;0,ROUND((D9+F9*0.5)/C9*100,1)&amp;"%","0%")</f>
        <v/>
      </c>
      <c r="I9" s="4" t="inlineStr">
        <is>
          <t>Simulateurs</t>
        </is>
      </c>
    </row>
    <row r="10">
      <c r="A10" s="6" t="inlineStr">
        <is>
          <t>🤖  Assistant IA</t>
        </is>
      </c>
      <c r="B10" s="6" t="inlineStr">
        <is>
          <t>🤖</t>
        </is>
      </c>
      <c r="C10" s="7" t="n">
        <v>12</v>
      </c>
      <c r="D10" s="7">
        <f>COUNTIFS('🧪 Tests'!A:A,I10,'🧪 Tests'!G:G,"✅ PASS")</f>
        <v/>
      </c>
      <c r="E10" s="7">
        <f>COUNTIFS('🧪 Tests'!A:A,I10,'🧪 Tests'!G:G,"❌ FAIL")</f>
        <v/>
      </c>
      <c r="F10" s="7">
        <f>COUNTIFS('🧪 Tests'!A:A,I10,'🧪 Tests'!G:G,"⚠️ PARTIEL")</f>
        <v/>
      </c>
      <c r="G10" s="7">
        <f>COUNTIFS('🧪 Tests'!A:A,I10,'🧪 Tests'!G:G,"☐ À tester")</f>
        <v/>
      </c>
      <c r="H10" s="7">
        <f>IF(C10&gt;0,ROUND((D10+F10*0.5)/C10*100,1)&amp;"%","0%")</f>
        <v/>
      </c>
      <c r="I10" s="6" t="inlineStr">
        <is>
          <t>Assistant IA</t>
        </is>
      </c>
    </row>
    <row r="11">
      <c r="A11" s="4" t="inlineStr">
        <is>
          <t>📅  Calendrier Fiscal</t>
        </is>
      </c>
      <c r="B11" s="4" t="inlineStr">
        <is>
          <t>📅</t>
        </is>
      </c>
      <c r="C11" s="5" t="n">
        <v>4</v>
      </c>
      <c r="D11" s="5">
        <f>COUNTIFS('🧪 Tests'!A:A,I11,'🧪 Tests'!G:G,"✅ PASS")</f>
        <v/>
      </c>
      <c r="E11" s="5">
        <f>COUNTIFS('🧪 Tests'!A:A,I11,'🧪 Tests'!G:G,"❌ FAIL")</f>
        <v/>
      </c>
      <c r="F11" s="5">
        <f>COUNTIFS('🧪 Tests'!A:A,I11,'🧪 Tests'!G:G,"⚠️ PARTIEL")</f>
        <v/>
      </c>
      <c r="G11" s="5">
        <f>COUNTIFS('🧪 Tests'!A:A,I11,'🧪 Tests'!G:G,"☐ À tester")</f>
        <v/>
      </c>
      <c r="H11" s="5">
        <f>IF(C11&gt;0,ROUND((D11+F11*0.5)/C11*100,1)&amp;"%","0%")</f>
        <v/>
      </c>
      <c r="I11" s="4" t="inlineStr">
        <is>
          <t>Calendrier Fiscal</t>
        </is>
      </c>
    </row>
    <row r="12">
      <c r="A12" s="6" t="inlineStr">
        <is>
          <t>👤  Profil &amp; Abonnement</t>
        </is>
      </c>
      <c r="B12" s="6" t="inlineStr">
        <is>
          <t>👤</t>
        </is>
      </c>
      <c r="C12" s="7" t="n">
        <v>7</v>
      </c>
      <c r="D12" s="7">
        <f>COUNTIFS('🧪 Tests'!A:A,I12,'🧪 Tests'!G:G,"✅ PASS")</f>
        <v/>
      </c>
      <c r="E12" s="7">
        <f>COUNTIFS('🧪 Tests'!A:A,I12,'🧪 Tests'!G:G,"❌ FAIL")</f>
        <v/>
      </c>
      <c r="F12" s="7">
        <f>COUNTIFS('🧪 Tests'!A:A,I12,'🧪 Tests'!G:G,"⚠️ PARTIEL")</f>
        <v/>
      </c>
      <c r="G12" s="7">
        <f>COUNTIFS('🧪 Tests'!A:A,I12,'🧪 Tests'!G:G,"☐ À tester")</f>
        <v/>
      </c>
      <c r="H12" s="7">
        <f>IF(C12&gt;0,ROUND((D12+F12*0.5)/C12*100,1)&amp;"%","0%")</f>
        <v/>
      </c>
      <c r="I12" s="6" t="inlineStr">
        <is>
          <t>Profil &amp; Abonnement</t>
        </is>
      </c>
    </row>
    <row r="13">
      <c r="A13" s="4" t="inlineStr">
        <is>
          <t>🔓  FREE Trial</t>
        </is>
      </c>
      <c r="B13" s="4" t="inlineStr">
        <is>
          <t>🔓</t>
        </is>
      </c>
      <c r="C13" s="5" t="n">
        <v>4</v>
      </c>
      <c r="D13" s="5">
        <f>COUNTIFS('🧪 Tests'!A:A,I13,'🧪 Tests'!G:G,"✅ PASS")</f>
        <v/>
      </c>
      <c r="E13" s="5">
        <f>COUNTIFS('🧪 Tests'!A:A,I13,'🧪 Tests'!G:G,"❌ FAIL")</f>
        <v/>
      </c>
      <c r="F13" s="5">
        <f>COUNTIFS('🧪 Tests'!A:A,I13,'🧪 Tests'!G:G,"⚠️ PARTIEL")</f>
        <v/>
      </c>
      <c r="G13" s="5">
        <f>COUNTIFS('🧪 Tests'!A:A,I13,'🧪 Tests'!G:G,"☐ À tester")</f>
        <v/>
      </c>
      <c r="H13" s="5">
        <f>IF(C13&gt;0,ROUND((D13+F13*0.5)/C13*100,1)&amp;"%","0%")</f>
        <v/>
      </c>
      <c r="I13" s="4" t="inlineStr">
        <is>
          <t>FREE Trial</t>
        </is>
      </c>
    </row>
    <row r="14">
      <c r="A14" s="6" t="inlineStr">
        <is>
          <t>⚡  Performance</t>
        </is>
      </c>
      <c r="B14" s="6" t="inlineStr">
        <is>
          <t>⚡</t>
        </is>
      </c>
      <c r="C14" s="7" t="n">
        <v>8</v>
      </c>
      <c r="D14" s="7">
        <f>COUNTIFS('🧪 Tests'!A:A,I14,'🧪 Tests'!G:G,"✅ PASS")</f>
        <v/>
      </c>
      <c r="E14" s="7">
        <f>COUNTIFS('🧪 Tests'!A:A,I14,'🧪 Tests'!G:G,"❌ FAIL")</f>
        <v/>
      </c>
      <c r="F14" s="7">
        <f>COUNTIFS('🧪 Tests'!A:A,I14,'🧪 Tests'!G:G,"⚠️ PARTIEL")</f>
        <v/>
      </c>
      <c r="G14" s="7">
        <f>COUNTIFS('🧪 Tests'!A:A,I14,'🧪 Tests'!G:G,"☐ À tester")</f>
        <v/>
      </c>
      <c r="H14" s="7">
        <f>IF(C14&gt;0,ROUND((D14+F14*0.5)/C14*100,1)&amp;"%","0%")</f>
        <v/>
      </c>
      <c r="I14" s="6" t="inlineStr">
        <is>
          <t>Performance</t>
        </is>
      </c>
    </row>
    <row r="15">
      <c r="A15" s="4" t="inlineStr">
        <is>
          <t>📱  UX Mobile</t>
        </is>
      </c>
      <c r="B15" s="4" t="inlineStr">
        <is>
          <t>📱</t>
        </is>
      </c>
      <c r="C15" s="5" t="n">
        <v>6</v>
      </c>
      <c r="D15" s="5">
        <f>COUNTIFS('🧪 Tests'!A:A,I15,'🧪 Tests'!G:G,"✅ PASS")</f>
        <v/>
      </c>
      <c r="E15" s="5">
        <f>COUNTIFS('🧪 Tests'!A:A,I15,'🧪 Tests'!G:G,"❌ FAIL")</f>
        <v/>
      </c>
      <c r="F15" s="5">
        <f>COUNTIFS('🧪 Tests'!A:A,I15,'🧪 Tests'!G:G,"⚠️ PARTIEL")</f>
        <v/>
      </c>
      <c r="G15" s="5">
        <f>COUNTIFS('🧪 Tests'!A:A,I15,'🧪 Tests'!G:G,"☐ À tester")</f>
        <v/>
      </c>
      <c r="H15" s="5">
        <f>IF(C15&gt;0,ROUND((D15+F15*0.5)/C15*100,1)&amp;"%","0%")</f>
        <v/>
      </c>
      <c r="I15" s="4" t="inlineStr">
        <is>
          <t>UX Mobile</t>
        </is>
      </c>
    </row>
    <row r="16">
      <c r="A16" s="8" t="inlineStr">
        <is>
          <t>📖  Navigation Social</t>
        </is>
      </c>
      <c r="B16" s="8" t="inlineStr">
        <is>
          <t>📖</t>
        </is>
      </c>
      <c r="C16" s="9" t="n">
        <v>8</v>
      </c>
      <c r="D16" s="9">
        <f>COUNTIFS('🧪 Tests'!A:A,I16,'🧪 Tests'!G:G,"✅ PASS")</f>
        <v/>
      </c>
      <c r="E16" s="9">
        <f>COUNTIFS('🧪 Tests'!A:A,I16,'🧪 Tests'!G:G,"❌ FAIL")</f>
        <v/>
      </c>
      <c r="F16" s="9">
        <f>COUNTIFS('🧪 Tests'!A:A,I16,'🧪 Tests'!G:G,"⚠️ PARTIEL")</f>
        <v/>
      </c>
      <c r="G16" s="9">
        <f>COUNTIFS('🧪 Tests'!A:A,I16,'🧪 Tests'!G:G,"☐ À tester")</f>
        <v/>
      </c>
      <c r="H16" s="9">
        <f>IF(C16&gt;0,ROUND((D16+F16*0.5)/C16*100,1)&amp;"%","0%")</f>
        <v/>
      </c>
      <c r="I16" s="8" t="inlineStr">
        <is>
          <t>Navigation Social</t>
        </is>
      </c>
    </row>
    <row r="17">
      <c r="A17" s="10" t="inlineStr">
        <is>
          <t>🔍  Recherche Social</t>
        </is>
      </c>
      <c r="B17" s="10" t="inlineStr">
        <is>
          <t>🔍</t>
        </is>
      </c>
      <c r="C17" s="11" t="n">
        <v>3</v>
      </c>
      <c r="D17" s="11">
        <f>COUNTIFS('🧪 Tests'!A:A,I17,'🧪 Tests'!G:G,"✅ PASS")</f>
        <v/>
      </c>
      <c r="E17" s="11">
        <f>COUNTIFS('🧪 Tests'!A:A,I17,'🧪 Tests'!G:G,"❌ FAIL")</f>
        <v/>
      </c>
      <c r="F17" s="11">
        <f>COUNTIFS('🧪 Tests'!A:A,I17,'🧪 Tests'!G:G,"⚠️ PARTIEL")</f>
        <v/>
      </c>
      <c r="G17" s="11">
        <f>COUNTIFS('🧪 Tests'!A:A,I17,'🧪 Tests'!G:G,"☐ À tester")</f>
        <v/>
      </c>
      <c r="H17" s="11">
        <f>IF(C17&gt;0,ROUND((D17+F17*0.5)/C17*100,1)&amp;"%","0%")</f>
        <v/>
      </c>
      <c r="I17" s="10" t="inlineStr">
        <is>
          <t>Recherche Social</t>
        </is>
      </c>
    </row>
    <row r="18">
      <c r="A18" s="12" t="inlineStr">
        <is>
          <t>🤖  Assistant IA Social</t>
        </is>
      </c>
      <c r="B18" s="12" t="inlineStr">
        <is>
          <t>🤖</t>
        </is>
      </c>
      <c r="C18" s="13" t="n">
        <v>7</v>
      </c>
      <c r="D18" s="13">
        <f>COUNTIFS('🧪 Tests'!A:A,I18,'🧪 Tests'!G:G,"✅ PASS")</f>
        <v/>
      </c>
      <c r="E18" s="13">
        <f>COUNTIFS('🧪 Tests'!A:A,I18,'🧪 Tests'!G:G,"❌ FAIL")</f>
        <v/>
      </c>
      <c r="F18" s="13">
        <f>COUNTIFS('🧪 Tests'!A:A,I18,'🧪 Tests'!G:G,"⚠️ PARTIEL")</f>
        <v/>
      </c>
      <c r="G18" s="13">
        <f>COUNTIFS('🧪 Tests'!A:A,I18,'🧪 Tests'!G:G,"☐ À tester")</f>
        <v/>
      </c>
      <c r="H18" s="13">
        <f>IF(C18&gt;0,ROUND((D18+F18*0.5)/C18*100,1)&amp;"%","0%")</f>
        <v/>
      </c>
      <c r="I18" s="12" t="inlineStr">
        <is>
          <t>Assistant IA Social</t>
        </is>
      </c>
    </row>
    <row r="19">
      <c r="A19" s="10" t="inlineStr">
        <is>
          <t>📋  Audit Facture</t>
        </is>
      </c>
      <c r="B19" s="10" t="inlineStr">
        <is>
          <t>📋</t>
        </is>
      </c>
      <c r="C19" s="11" t="n">
        <v>5</v>
      </c>
      <c r="D19" s="11">
        <f>COUNTIFS('🧪 Tests'!A:A,I19,'🧪 Tests'!G:G,"✅ PASS")</f>
        <v/>
      </c>
      <c r="E19" s="11">
        <f>COUNTIFS('🧪 Tests'!A:A,I19,'🧪 Tests'!G:G,"❌ FAIL")</f>
        <v/>
      </c>
      <c r="F19" s="11">
        <f>COUNTIFS('🧪 Tests'!A:A,I19,'🧪 Tests'!G:G,"⚠️ PARTIEL")</f>
        <v/>
      </c>
      <c r="G19" s="11">
        <f>COUNTIFS('🧪 Tests'!A:A,I19,'🧪 Tests'!G:G,"☐ À tester")</f>
        <v/>
      </c>
      <c r="H19" s="11">
        <f>IF(C19&gt;0,ROUND((D19+F19*0.5)/C19*100,1)&amp;"%","0%")</f>
        <v/>
      </c>
      <c r="I19" s="10" t="inlineStr">
        <is>
          <t>Audit Facture</t>
        </is>
      </c>
    </row>
    <row r="20">
      <c r="A20" s="12" t="inlineStr">
        <is>
          <t>🏢  Organisation</t>
        </is>
      </c>
      <c r="B20" s="12" t="inlineStr">
        <is>
          <t>🏢</t>
        </is>
      </c>
      <c r="C20" s="13" t="n">
        <v>4</v>
      </c>
      <c r="D20" s="13">
        <f>COUNTIFS('🧪 Tests'!A:A,I20,'🧪 Tests'!G:G,"✅ PASS")</f>
        <v/>
      </c>
      <c r="E20" s="13">
        <f>COUNTIFS('🧪 Tests'!A:A,I20,'🧪 Tests'!G:G,"❌ FAIL")</f>
        <v/>
      </c>
      <c r="F20" s="13">
        <f>COUNTIFS('🧪 Tests'!A:A,I20,'🧪 Tests'!G:G,"⚠️ PARTIEL")</f>
        <v/>
      </c>
      <c r="G20" s="13">
        <f>COUNTIFS('🧪 Tests'!A:A,I20,'🧪 Tests'!G:G,"☐ À tester")</f>
        <v/>
      </c>
      <c r="H20" s="13">
        <f>IF(C20&gt;0,ROUND((D20+F20*0.5)/C20*100,1)&amp;"%","0%")</f>
        <v/>
      </c>
      <c r="I20" s="12" t="inlineStr">
        <is>
          <t>Organisation</t>
        </is>
      </c>
    </row>
    <row r="21">
      <c r="A21" s="10" t="inlineStr">
        <is>
          <t>🔐  Keycloak OTP</t>
        </is>
      </c>
      <c r="B21" s="10" t="inlineStr">
        <is>
          <t>🔐</t>
        </is>
      </c>
      <c r="C21" s="11" t="n">
        <v>3</v>
      </c>
      <c r="D21" s="11">
        <f>COUNTIFS('🧪 Tests'!A:A,I21,'🧪 Tests'!G:G,"✅ PASS")</f>
        <v/>
      </c>
      <c r="E21" s="11">
        <f>COUNTIFS('🧪 Tests'!A:A,I21,'🧪 Tests'!G:G,"❌ FAIL")</f>
        <v/>
      </c>
      <c r="F21" s="11">
        <f>COUNTIFS('🧪 Tests'!A:A,I21,'🧪 Tests'!G:G,"⚠️ PARTIEL")</f>
        <v/>
      </c>
      <c r="G21" s="11">
        <f>COUNTIFS('🧪 Tests'!A:A,I21,'🧪 Tests'!G:G,"☐ À tester")</f>
        <v/>
      </c>
      <c r="H21" s="11">
        <f>IF(C21&gt;0,ROUND((D21+F21*0.5)/C21*100,1)&amp;"%","0%")</f>
        <v/>
      </c>
      <c r="I21" s="10" t="inlineStr">
        <is>
          <t>Keycloak SSO</t>
        </is>
      </c>
    </row>
    <row r="22">
      <c r="A22" t="inlineStr">
        <is>
          <t>🔑  Keycloak SSO</t>
        </is>
      </c>
      <c r="B22" t="inlineStr">
        <is>
          <t>🔑</t>
        </is>
      </c>
      <c r="C22" t="n">
        <v>5</v>
      </c>
      <c r="D22">
        <f>COUNTIFS('🧪 Tests'!A:A,I22,'🧪 Tests'!G:G,"✅ PASS")</f>
        <v/>
      </c>
      <c r="E22">
        <f>COUNTIFS('🧪 Tests'!A:A,I22,'🧪 Tests'!G:G,"❌ FAIL")</f>
        <v/>
      </c>
      <c r="F22">
        <f>COUNTIFS('🧪 Tests'!A:A,I22,'🧪 Tests'!G:G,"⚠️ PARTIEL")</f>
        <v/>
      </c>
      <c r="G22">
        <f>COUNTIFS('🧪 Tests'!A:A,I22,'🧪 Tests'!G:G,"☐ À tester")</f>
        <v/>
      </c>
      <c r="H22">
        <f>IF(C22&gt;0,ROUND((D22+F22*0.5)/C22*100,1)&amp;"%","0%")</f>
        <v/>
      </c>
      <c r="I22" t="inlineStr">
        <is>
          <t>Keycloak SSO</t>
        </is>
      </c>
    </row>
    <row r="23" ht="8" customHeight="1">
      <c r="A23" t="inlineStr">
        <is>
          <t>🗄️  Isolation Données</t>
        </is>
      </c>
      <c r="B23" t="inlineStr">
        <is>
          <t>🗄️</t>
        </is>
      </c>
      <c r="C23" t="n">
        <v>5</v>
      </c>
      <c r="D23">
        <f>COUNTIFS('🧪 Tests'!A:A,I23,'🧪 Tests'!G:G,"✅ PASS")</f>
        <v/>
      </c>
      <c r="E23">
        <f>COUNTIFS('🧪 Tests'!A:A,I23,'🧪 Tests'!G:G,"❌ FAIL")</f>
        <v/>
      </c>
      <c r="F23">
        <f>COUNTIFS('🧪 Tests'!A:A,I23,'🧪 Tests'!G:G,"⚠️ PARTIEL")</f>
        <v/>
      </c>
      <c r="G23">
        <f>COUNTIFS('🧪 Tests'!A:A,I23,'🧪 Tests'!G:G,"☐ À tester")</f>
        <v/>
      </c>
      <c r="H23">
        <f>IF(C23&gt;0,ROUND((D23+F23*0.5)/C23*100,1)&amp;"%","0%")</f>
        <v/>
      </c>
      <c r="I23" t="inlineStr">
        <is>
          <t>Isolation Données</t>
        </is>
      </c>
    </row>
    <row r="24">
      <c r="A24" t="inlineStr">
        <is>
          <t>🌐  Landing Page</t>
        </is>
      </c>
      <c r="B24" t="inlineStr">
        <is>
          <t>🌐</t>
        </is>
      </c>
      <c r="C24" t="n">
        <v>5</v>
      </c>
      <c r="D24">
        <f>COUNTIFS('🧪 Tests'!A:A,I24,'🧪 Tests'!G:G,"✅ PASS")</f>
        <v/>
      </c>
      <c r="E24">
        <f>COUNTIFS('🧪 Tests'!A:A,I24,'🧪 Tests'!G:G,"❌ FAIL")</f>
        <v/>
      </c>
      <c r="F24">
        <f>COUNTIFS('🧪 Tests'!A:A,I24,'🧪 Tests'!G:G,"⚠️ PARTIEL")</f>
        <v/>
      </c>
      <c r="G24">
        <f>COUNTIFS('🧪 Tests'!A:A,I24,'🧪 Tests'!G:G,"☐ À tester")</f>
        <v/>
      </c>
      <c r="H24">
        <f>IF(C24&gt;0,ROUND((D24+F24*0.5)/C24*100,1)&amp;"%","0%")</f>
        <v/>
      </c>
      <c r="I24" t="inlineStr">
        <is>
          <t>Landing Page</t>
        </is>
      </c>
    </row>
    <row r="25">
      <c r="A25" t="inlineStr">
        <is>
          <t>📊  Dashboard</t>
        </is>
      </c>
      <c r="B25" t="inlineStr">
        <is>
          <t>📊</t>
        </is>
      </c>
      <c r="C25" t="n">
        <v>3</v>
      </c>
      <c r="D25">
        <f>COUNTIFS('🧪 Tests'!A:A,I25,'🧪 Tests'!G:G,"✅ PASS")</f>
        <v/>
      </c>
      <c r="E25">
        <f>COUNTIFS('🧪 Tests'!A:A,I25,'🧪 Tests'!G:G,"❌ FAIL")</f>
        <v/>
      </c>
      <c r="F25">
        <f>COUNTIFS('🧪 Tests'!A:A,I25,'🧪 Tests'!G:G,"⚠️ PARTIEL")</f>
        <v/>
      </c>
      <c r="G25">
        <f>COUNTIFS('🧪 Tests'!A:A,I25,'🧪 Tests'!G:G,"☐ À tester")</f>
        <v/>
      </c>
      <c r="H25">
        <f>IF(C25&gt;0,ROUND((D25+F25*0.5)/C25*100,1)&amp;"%","0%")</f>
        <v/>
      </c>
      <c r="I25" t="inlineStr">
        <is>
          <t>Dashboard</t>
        </is>
      </c>
    </row>
    <row r="26">
      <c r="A26" s="14" t="inlineStr">
        <is>
          <t>📊  TOTAL GÉNÉRAL</t>
        </is>
      </c>
      <c r="B26" s="14" t="n"/>
      <c r="C26" s="14">
        <f>SUM(C5:C25)</f>
        <v/>
      </c>
      <c r="D26" s="14">
        <f>COUNTIF('🧪 Tests'!G:G,"✅ PASS")</f>
        <v/>
      </c>
      <c r="E26" s="14">
        <f>COUNTIF('🧪 Tests'!G:G,"❌ FAIL")</f>
        <v/>
      </c>
      <c r="F26" s="14">
        <f>COUNTIF('🧪 Tests'!G:G,"⚠️ PARTIEL")</f>
        <v/>
      </c>
      <c r="G26" s="14">
        <f>COUNTIF('🧪 Tests'!G:G,"☐ À tester")</f>
        <v/>
      </c>
      <c r="H26" s="14">
        <f>IF(C22&gt;0,ROUND((D22+F22*0.5)/C22*100,1)&amp;"%","0%")</f>
        <v/>
      </c>
      <c r="I26" s="14" t="n"/>
    </row>
    <row r="27"/>
    <row r="28">
      <c r="A28" s="15" t="inlineStr">
        <is>
          <t>LÉGENDE DES STATUTS</t>
        </is>
      </c>
    </row>
    <row r="29">
      <c r="A29" s="16" t="inlineStr">
        <is>
          <t>☐ À tester</t>
        </is>
      </c>
      <c r="B29" s="17" t="inlineStr">
        <is>
          <t>Test non encore exécuté</t>
        </is>
      </c>
    </row>
    <row r="30">
      <c r="A30" s="16" t="inlineStr">
        <is>
          <t>✅ PASS</t>
        </is>
      </c>
      <c r="B30" s="17" t="inlineStr">
        <is>
          <t>Test réussi — comportement conforme</t>
        </is>
      </c>
    </row>
    <row r="31" ht="8" customHeight="1">
      <c r="A31" s="16" t="inlineStr">
        <is>
          <t>❌ FAIL</t>
        </is>
      </c>
      <c r="B31" s="17" t="inlineStr">
        <is>
          <t>Test échoué — bug à corriger</t>
        </is>
      </c>
    </row>
    <row r="32">
      <c r="A32" s="16" t="inlineStr">
        <is>
          <t>⚠️ PARTIEL</t>
        </is>
      </c>
      <c r="B32" s="17" t="inlineStr">
        <is>
          <t>Test partiellement réussi — à surveiller</t>
        </is>
      </c>
    </row>
    <row r="33">
      <c r="A33" s="16" t="inlineStr">
        <is>
          <t>🚫 N/A</t>
        </is>
      </c>
      <c r="B33" s="17" t="inlineStr">
        <is>
          <t>Test non applicable dans ce contexte</t>
        </is>
      </c>
    </row>
    <row r="34"/>
    <row r="35"/>
    <row r="36">
      <c r="A36" s="15" t="inlineStr">
        <is>
          <t>✅  CRITÈRES MISE EN PRODUCTION</t>
        </is>
      </c>
    </row>
    <row r="37">
      <c r="A37" s="16" t="inlineStr">
        <is>
          <t>Minimum requis</t>
        </is>
      </c>
      <c r="B37" s="17" t="inlineStr">
        <is>
          <t>100% des tests CRITIQUE en PASS ou N/A</t>
        </is>
      </c>
    </row>
    <row r="38">
      <c r="A38" s="16" t="inlineStr">
        <is>
          <t>Recommandé</t>
        </is>
      </c>
      <c r="B38" s="17" t="inlineStr">
        <is>
          <t>80% de tous les tests en PASS</t>
        </is>
      </c>
    </row>
    <row r="39">
      <c r="A39" s="16" t="inlineStr">
        <is>
          <t>Aucun bug BLOQUANT</t>
        </is>
      </c>
      <c r="B39" s="17" t="inlineStr">
        <is>
          <t>Tous les bugs BLOQUANT doivent être CORRIGÉ avant lancement</t>
        </is>
      </c>
    </row>
  </sheetData>
  <mergeCells count="7">
    <mergeCell ref="A2:I2"/>
    <mergeCell ref="B29:I29"/>
    <mergeCell ref="B25:I25"/>
    <mergeCell ref="A1:I1"/>
    <mergeCell ref="B28:I28"/>
    <mergeCell ref="B27:I27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/>
  </sheetPr>
  <dimension ref="A1:K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5" customWidth="1" min="3" max="3"/>
    <col width="45" customWidth="1" min="4" max="4"/>
    <col width="45" customWidth="1" min="5" max="5"/>
    <col width="12" customWidth="1" min="6" max="6"/>
    <col width="14" customWidth="1" min="7" max="7"/>
    <col width="12" customWidth="1" min="8" max="8"/>
    <col width="30" customWidth="1" min="9" max="9"/>
    <col width="30" customWidth="1" min="10" max="10"/>
    <col width="15" customWidth="1" min="11" max="11"/>
  </cols>
  <sheetData>
    <row r="1" ht="35" customHeight="1">
      <c r="A1" s="1" t="inlineStr">
        <is>
          <t>NORMX Tax 2026 — Grille de Tests Fonctionnels Interactive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2" t="n"/>
    </row>
    <row r="2">
      <c r="A2" s="2" t="inlineStr">
        <is>
          <t>Modifiez la colonne STATUT avec la liste déroulante · Version 3.0 (Keycloak SSO + Schema PG + Landing Pennylane)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2" t="n"/>
    </row>
    <row r="3" ht="30" customHeight="1">
      <c r="A3" s="3" t="inlineStr">
        <is>
          <t>MODULE</t>
        </is>
      </c>
      <c r="B3" s="3" t="inlineStr">
        <is>
          <t>ID TEST</t>
        </is>
      </c>
      <c r="C3" s="3" t="inlineStr">
        <is>
          <t>DESCRIPTION</t>
        </is>
      </c>
      <c r="D3" s="3" t="inlineStr">
        <is>
          <t>ACTIONS À EFFECTUER</t>
        </is>
      </c>
      <c r="E3" s="3" t="inlineStr">
        <is>
          <t>RÉSULTAT ATTENDU</t>
        </is>
      </c>
      <c r="F3" s="3" t="inlineStr">
        <is>
          <t>PRIORITÉ</t>
        </is>
      </c>
      <c r="G3" s="3" t="inlineStr">
        <is>
          <t>STATUT</t>
        </is>
      </c>
      <c r="H3" s="3" t="inlineStr">
        <is>
          <t>DATE TEST</t>
        </is>
      </c>
      <c r="I3" s="3" t="inlineStr">
        <is>
          <t>🐛 COMMENTAIRE / BUG</t>
        </is>
      </c>
      <c r="J3" s="3" t="inlineStr">
        <is>
          <t>💡 BESOIN D'ÉVOLUTION</t>
        </is>
      </c>
      <c r="K3" s="3" t="inlineStr">
        <is>
          <t>TESTÉ PAR</t>
        </is>
      </c>
    </row>
    <row r="4">
      <c r="A4" s="10" t="inlineStr">
        <is>
          <t>Authentification</t>
        </is>
      </c>
      <c r="B4" s="10" t="inlineStr">
        <is>
          <t>AUTH-01</t>
        </is>
      </c>
      <c r="C4" s="10" t="inlineStr">
        <is>
          <t>Inscription via Keycloak SSO</t>
        </is>
      </c>
      <c r="D4" s="10" t="inlineStr">
        <is>
          <t>Accéder à tax.normx-ai.com → Cliquer 'Créer un compte' → Formulaire Keycloak</t>
        </is>
      </c>
      <c r="E4" s="10" t="inlineStr">
        <is>
          <t>Compte créé sur auth.normx-ai.com, OTP email envoyé, redirection vers l'app</t>
        </is>
      </c>
      <c r="F4" s="18" t="inlineStr">
        <is>
          <t>CRITIQUE</t>
        </is>
      </c>
      <c r="G4" s="11" t="inlineStr">
        <is>
          <t>☐ À tester</t>
        </is>
      </c>
      <c r="H4" s="11" t="n"/>
      <c r="I4" s="10" t="n"/>
      <c r="J4" s="10" t="n"/>
      <c r="K4" s="10" t="n"/>
    </row>
    <row r="5">
      <c r="A5" s="12" t="inlineStr">
        <is>
          <t>Authentification</t>
        </is>
      </c>
      <c r="B5" s="12" t="inlineStr">
        <is>
          <t>AUTH-02</t>
        </is>
      </c>
      <c r="C5" s="12" t="inlineStr">
        <is>
          <t>Connexion Keycloak SSO</t>
        </is>
      </c>
      <c r="D5" s="12" t="inlineStr">
        <is>
          <t>Accéder à tax.normx-ai.com → 'Se connecter' → Identifiants Keycloak</t>
        </is>
      </c>
      <c r="E5" s="12" t="inlineStr">
        <is>
          <t>Token JWT reçu, accès dashboard, nom affiché, token stocké en localStorage</t>
        </is>
      </c>
      <c r="F5" s="18" t="inlineStr">
        <is>
          <t>CRITIQUE</t>
        </is>
      </c>
      <c r="G5" s="13" t="inlineStr">
        <is>
          <t>☐ À tester</t>
        </is>
      </c>
      <c r="H5" s="13" t="n"/>
      <c r="I5" s="12" t="n"/>
      <c r="J5" s="12" t="n"/>
      <c r="K5" s="12" t="n"/>
    </row>
    <row r="6">
      <c r="A6" s="10" t="inlineStr">
        <is>
          <t>Authentification</t>
        </is>
      </c>
      <c r="B6" s="10" t="inlineStr">
        <is>
          <t>AUTH-03</t>
        </is>
      </c>
      <c r="C6" s="10" t="inlineStr">
        <is>
          <t>Brute force protection Keycloak</t>
        </is>
      </c>
      <c r="D6" s="10" t="inlineStr">
        <is>
          <t>Entrer un mot de passe erroné 5 fois de suite sur auth.normx-ai.com</t>
        </is>
      </c>
      <c r="E6" s="10" t="inlineStr">
        <is>
          <t>Compte temporairement bloqué par Keycloak, message d'erreur clair</t>
        </is>
      </c>
      <c r="F6" s="19" t="inlineStr">
        <is>
          <t>HAUTE</t>
        </is>
      </c>
      <c r="G6" s="11" t="inlineStr">
        <is>
          <t>☐ À tester</t>
        </is>
      </c>
      <c r="H6" s="11" t="n"/>
      <c r="I6" s="10" t="n"/>
      <c r="J6" s="10" t="n"/>
      <c r="K6" s="10" t="n"/>
    </row>
    <row r="7">
      <c r="A7" s="12" t="inlineStr">
        <is>
          <t>Authentification</t>
        </is>
      </c>
      <c r="B7" s="12" t="inlineStr">
        <is>
          <t>AUTH-04</t>
        </is>
      </c>
      <c r="C7" s="12" t="inlineStr">
        <is>
          <t>Réinitialisation mot de passe Keycloak</t>
        </is>
      </c>
      <c r="D7" s="12" t="inlineStr">
        <is>
          <t>Cliquer 'Mot de passe oublié' sur auth.normx-ai.com → saisir email</t>
        </is>
      </c>
      <c r="E7" s="12" t="inlineStr">
        <is>
          <t>Email de réinitialisation envoyé via Keycloak SMTP</t>
        </is>
      </c>
      <c r="F7" s="19" t="inlineStr">
        <is>
          <t>HAUTE</t>
        </is>
      </c>
      <c r="G7" s="13" t="inlineStr">
        <is>
          <t>☐ À tester</t>
        </is>
      </c>
      <c r="H7" s="13" t="n"/>
      <c r="I7" s="12" t="n"/>
      <c r="J7" s="12" t="n"/>
      <c r="K7" s="12" t="n"/>
    </row>
    <row r="8">
      <c r="A8" s="10" t="inlineStr">
        <is>
          <t>Authentification</t>
        </is>
      </c>
      <c r="B8" s="10" t="inlineStr">
        <is>
          <t>AUTH-05</t>
        </is>
      </c>
      <c r="C8" s="10" t="inlineStr">
        <is>
          <t>Déconnexion Keycloak</t>
        </is>
      </c>
      <c r="D8" s="10" t="inlineStr">
        <is>
          <t>Menu profil → Déconnexion</t>
        </is>
      </c>
      <c r="E8" s="10" t="inlineStr">
        <is>
          <t>Session Keycloak fermée, tokens supprimés, retour landing page</t>
        </is>
      </c>
      <c r="F8" s="11" t="inlineStr">
        <is>
          <t>NORMALE</t>
        </is>
      </c>
      <c r="G8" s="11" t="inlineStr">
        <is>
          <t>☐ À tester</t>
        </is>
      </c>
      <c r="H8" s="11" t="n"/>
      <c r="I8" s="10" t="n"/>
      <c r="J8" s="10" t="n"/>
      <c r="K8" s="10" t="n"/>
    </row>
    <row r="9">
      <c r="A9" s="12" t="inlineStr">
        <is>
          <t>Authentification</t>
        </is>
      </c>
      <c r="B9" s="12" t="inlineStr">
        <is>
          <t>AUTH-06</t>
        </is>
      </c>
      <c r="C9" s="12" t="inlineStr">
        <is>
          <t>Accès protégé sans token</t>
        </is>
      </c>
      <c r="D9" s="12" t="inlineStr">
        <is>
          <t>Accéder directement à une URL API sans token Bearer</t>
        </is>
      </c>
      <c r="E9" s="12" t="inlineStr">
        <is>
          <t>401 Unauthorized, redirection vers login Keycloak</t>
        </is>
      </c>
      <c r="F9" s="19" t="inlineStr">
        <is>
          <t>HAUTE</t>
        </is>
      </c>
      <c r="G9" s="13" t="inlineStr">
        <is>
          <t>☐ À tester</t>
        </is>
      </c>
      <c r="H9" s="13" t="n"/>
      <c r="I9" s="12" t="n"/>
      <c r="J9" s="12" t="n"/>
      <c r="K9" s="12" t="n"/>
    </row>
    <row r="10">
      <c r="A10" s="10" t="inlineStr">
        <is>
          <t>Accueil (Home)</t>
        </is>
      </c>
      <c r="B10" s="10" t="inlineStr">
        <is>
          <t>HOME-01</t>
        </is>
      </c>
      <c r="C10" s="10" t="inlineStr">
        <is>
          <t>Affichage tableau de bord</t>
        </is>
      </c>
      <c r="D10" s="10" t="inlineStr">
        <is>
          <t>Se connecter et observer l'écran Home</t>
        </is>
      </c>
      <c r="E10" s="10" t="inlineStr">
        <is>
          <t>Accueil avec stats, codes CGI+Social, actions rapides, échéances fiscales</t>
        </is>
      </c>
      <c r="F10" s="19" t="inlineStr">
        <is>
          <t>HAUTE</t>
        </is>
      </c>
      <c r="G10" s="11" t="inlineStr">
        <is>
          <t>☐ À tester</t>
        </is>
      </c>
      <c r="H10" s="11" t="n"/>
      <c r="I10" s="10" t="n"/>
      <c r="J10" s="10" t="n"/>
      <c r="K10" s="10" t="n"/>
    </row>
    <row r="11">
      <c r="A11" s="12" t="inlineStr">
        <is>
          <t>Accueil (Home)</t>
        </is>
      </c>
      <c r="B11" s="12" t="inlineStr">
        <is>
          <t>HOME-02</t>
        </is>
      </c>
      <c r="C11" s="12" t="inlineStr">
        <is>
          <t>Raccourcis de navigation fonctionnels</t>
        </is>
      </c>
      <c r="D11" s="12" t="inlineStr">
        <is>
          <t>Tapper les raccourcis (CGI, Social, IA, Simul)</t>
        </is>
      </c>
      <c r="E11" s="12" t="inlineStr">
        <is>
          <t>Chaque raccourci ouvre le bon module sans délai</t>
        </is>
      </c>
      <c r="F11" s="19" t="inlineStr">
        <is>
          <t>HAUTE</t>
        </is>
      </c>
      <c r="G11" s="13" t="inlineStr">
        <is>
          <t>☐ À tester</t>
        </is>
      </c>
      <c r="H11" s="13" t="n"/>
      <c r="I11" s="12" t="n"/>
      <c r="J11" s="12" t="n"/>
      <c r="K11" s="12" t="n"/>
    </row>
    <row r="12">
      <c r="A12" s="10" t="inlineStr">
        <is>
          <t>Accueil (Home)</t>
        </is>
      </c>
      <c r="B12" s="10" t="inlineStr">
        <is>
          <t>HOME-03</t>
        </is>
      </c>
      <c r="C12" s="10" t="inlineStr">
        <is>
          <t>Historique des consultations récentes</t>
        </is>
      </c>
      <c r="D12" s="10" t="inlineStr">
        <is>
          <t>Consulter 3 articles → Revenir à l'accueil</t>
        </is>
      </c>
      <c r="E12" s="10" t="inlineStr">
        <is>
          <t>Les 3 articles apparaissent dans 'Dernières consultations'</t>
        </is>
      </c>
      <c r="F12" s="11" t="inlineStr">
        <is>
          <t>NORMALE</t>
        </is>
      </c>
      <c r="G12" s="11" t="inlineStr">
        <is>
          <t>☐ À tester</t>
        </is>
      </c>
      <c r="H12" s="11" t="n"/>
      <c r="I12" s="10" t="n"/>
      <c r="J12" s="10" t="n"/>
      <c r="K12" s="10" t="n"/>
    </row>
    <row r="13">
      <c r="A13" s="12" t="inlineStr">
        <is>
          <t>Accueil (Home)</t>
        </is>
      </c>
      <c r="B13" s="12" t="inlineStr">
        <is>
          <t>HOME-04</t>
        </is>
      </c>
      <c r="C13" s="12" t="inlineStr">
        <is>
          <t>Alerte prochaine échéance fiscale</t>
        </is>
      </c>
      <c r="D13" s="12" t="inlineStr">
        <is>
          <t>Observer la carte d'échéance sur l'accueil</t>
        </is>
      </c>
      <c r="E13" s="12" t="inlineStr">
        <is>
          <t>Échéance fiscale la plus proche affichée</t>
        </is>
      </c>
      <c r="F13" s="13" t="inlineStr">
        <is>
          <t>NORMALE</t>
        </is>
      </c>
      <c r="G13" s="13" t="inlineStr">
        <is>
          <t>☐ À tester</t>
        </is>
      </c>
      <c r="H13" s="13" t="n"/>
      <c r="I13" s="12" t="n"/>
      <c r="J13" s="12" t="n"/>
      <c r="K13" s="12" t="n"/>
    </row>
    <row r="14">
      <c r="A14" s="10" t="inlineStr">
        <is>
          <t>Navigation CGI</t>
        </is>
      </c>
      <c r="B14" s="10" t="inlineStr">
        <is>
          <t>CGI-01</t>
        </is>
      </c>
      <c r="C14" s="10" t="inlineStr">
        <is>
          <t>Navigation Tome → Titre → Chapitre → Article</t>
        </is>
      </c>
      <c r="D14" s="10" t="inlineStr">
        <is>
          <t>Taper sur Tome 1 → Titre I (ITS) → Chapitre 1 → Article 1</t>
        </is>
      </c>
      <c r="E14" s="10" t="inlineStr">
        <is>
          <t>Arborescence complète parcourue, contenu article affiché</t>
        </is>
      </c>
      <c r="F14" s="18" t="inlineStr">
        <is>
          <t>CRITIQUE</t>
        </is>
      </c>
      <c r="G14" s="11" t="inlineStr">
        <is>
          <t>☐ À tester</t>
        </is>
      </c>
      <c r="H14" s="11" t="n"/>
      <c r="I14" s="10" t="n"/>
      <c r="J14" s="10" t="n"/>
      <c r="K14" s="10" t="n"/>
    </row>
    <row r="15">
      <c r="A15" s="12" t="inlineStr">
        <is>
          <t>Navigation CGI</t>
        </is>
      </c>
      <c r="B15" s="12" t="inlineStr">
        <is>
          <t>CGI-02</t>
        </is>
      </c>
      <c r="C15" s="12" t="inlineStr">
        <is>
          <t>Affichage complet d'un article</t>
        </is>
      </c>
      <c r="D15" s="12" t="inlineStr">
        <is>
          <t>Ouvrir n'importe quel article du CGI</t>
        </is>
      </c>
      <c r="E15" s="12" t="inlineStr">
        <is>
          <t>Numéro, titre, texte intégral lisible</t>
        </is>
      </c>
      <c r="F15" s="18" t="inlineStr">
        <is>
          <t>CRITIQUE</t>
        </is>
      </c>
      <c r="G15" s="13" t="inlineStr">
        <is>
          <t>☐ À tester</t>
        </is>
      </c>
      <c r="H15" s="13" t="n"/>
      <c r="I15" s="12" t="n"/>
      <c r="J15" s="12" t="n"/>
      <c r="K15" s="12" t="n"/>
    </row>
    <row r="16">
      <c r="A16" s="10" t="inlineStr">
        <is>
          <t>Navigation CGI</t>
        </is>
      </c>
      <c r="B16" s="10" t="inlineStr">
        <is>
          <t>CGI-03</t>
        </is>
      </c>
      <c r="C16" s="10" t="inlineStr">
        <is>
          <t>Navigation Tome 2 (TVA)</t>
        </is>
      </c>
      <c r="D16" s="10" t="inlineStr">
        <is>
          <t>Tome 2 → TVA → premier article</t>
        </is>
      </c>
      <c r="E16" s="10" t="inlineStr">
        <is>
          <t>Article TVA s'affiche avec texte complet</t>
        </is>
      </c>
      <c r="F16" s="19" t="inlineStr">
        <is>
          <t>HAUTE</t>
        </is>
      </c>
      <c r="G16" s="11" t="inlineStr">
        <is>
          <t>☐ À tester</t>
        </is>
      </c>
      <c r="H16" s="11" t="n"/>
      <c r="I16" s="10" t="n"/>
      <c r="J16" s="10" t="n"/>
      <c r="K16" s="10" t="n"/>
    </row>
    <row r="17">
      <c r="A17" s="12" t="inlineStr">
        <is>
          <t>Navigation CGI</t>
        </is>
      </c>
      <c r="B17" s="12" t="inlineStr">
        <is>
          <t>CGI-04</t>
        </is>
      </c>
      <c r="C17" s="12" t="inlineStr">
        <is>
          <t>Navigation TFNC</t>
        </is>
      </c>
      <c r="D17" s="12" t="inlineStr">
        <is>
          <t>Accéder à la section TFNC</t>
        </is>
      </c>
      <c r="E17" s="12" t="inlineStr">
        <is>
          <t>Articles TFNC listés et accessibles</t>
        </is>
      </c>
      <c r="F17" s="19" t="inlineStr">
        <is>
          <t>HAUTE</t>
        </is>
      </c>
      <c r="G17" s="13" t="inlineStr">
        <is>
          <t>☐ À tester</t>
        </is>
      </c>
      <c r="H17" s="13" t="n"/>
      <c r="I17" s="12" t="n"/>
      <c r="J17" s="12" t="n"/>
      <c r="K17" s="12" t="n"/>
    </row>
    <row r="18">
      <c r="A18" s="10" t="inlineStr">
        <is>
          <t>Navigation CGI</t>
        </is>
      </c>
      <c r="B18" s="10" t="inlineStr">
        <is>
          <t>CGI-05</t>
        </is>
      </c>
      <c r="C18" s="10" t="inlineStr">
        <is>
          <t>Navigation Index alphabétique</t>
        </is>
      </c>
      <c r="D18" s="10" t="inlineStr">
        <is>
          <t>Accéder à l'Index A-Z</t>
        </is>
      </c>
      <c r="E18" s="10" t="inlineStr">
        <is>
          <t>Index affiché avec renvois articles</t>
        </is>
      </c>
      <c r="F18" s="19" t="inlineStr">
        <is>
          <t>HAUTE</t>
        </is>
      </c>
      <c r="G18" s="11" t="inlineStr">
        <is>
          <t>☐ À tester</t>
        </is>
      </c>
      <c r="H18" s="11" t="n"/>
      <c r="I18" s="10" t="n"/>
      <c r="J18" s="10" t="n"/>
      <c r="K18" s="10" t="n"/>
    </row>
    <row r="19">
      <c r="A19" s="12" t="inlineStr">
        <is>
          <t>Navigation CGI</t>
        </is>
      </c>
      <c r="B19" s="12" t="inlineStr">
        <is>
          <t>CGI-06</t>
        </is>
      </c>
      <c r="C19" s="12" t="inlineStr">
        <is>
          <t>Bouton Retour (breadcrumb)</t>
        </is>
      </c>
      <c r="D19" s="12" t="inlineStr">
        <is>
          <t>Naviguer 4 niveaux → cliquer Retour 4 fois</t>
        </is>
      </c>
      <c r="E19" s="12" t="inlineStr">
        <is>
          <t>Chaque retour remonte d'un niveau sans bug</t>
        </is>
      </c>
      <c r="F19" s="19" t="inlineStr">
        <is>
          <t>HAUTE</t>
        </is>
      </c>
      <c r="G19" s="13" t="inlineStr">
        <is>
          <t>☐ À tester</t>
        </is>
      </c>
      <c r="H19" s="13" t="n"/>
      <c r="I19" s="12" t="n"/>
      <c r="J19" s="12" t="n"/>
      <c r="K19" s="12" t="n"/>
    </row>
    <row r="20">
      <c r="A20" s="10" t="inlineStr">
        <is>
          <t>Navigation CGI</t>
        </is>
      </c>
      <c r="B20" s="10" t="inlineStr">
        <is>
          <t>CGI-07</t>
        </is>
      </c>
      <c r="C20" s="10" t="inlineStr">
        <is>
          <t>Ajout article en Favoris</t>
        </is>
      </c>
      <c r="D20" s="10" t="inlineStr">
        <is>
          <t>Ouvrir un article → tapper l'étoile</t>
        </is>
      </c>
      <c r="E20" s="10" t="inlineStr">
        <is>
          <t>Article ajouté aux favoris, étoile devient dorée</t>
        </is>
      </c>
      <c r="F20" s="11" t="inlineStr">
        <is>
          <t>NORMALE</t>
        </is>
      </c>
      <c r="G20" s="11" t="inlineStr">
        <is>
          <t>☐ À tester</t>
        </is>
      </c>
      <c r="H20" s="11" t="n"/>
      <c r="I20" s="10" t="n"/>
      <c r="J20" s="10" t="n"/>
      <c r="K20" s="10" t="n"/>
    </row>
    <row r="21">
      <c r="A21" s="12" t="inlineStr">
        <is>
          <t>Navigation CGI</t>
        </is>
      </c>
      <c r="B21" s="12" t="inlineStr">
        <is>
          <t>CGI-08</t>
        </is>
      </c>
      <c r="C21" s="12" t="inlineStr">
        <is>
          <t>Retrait article des Favoris</t>
        </is>
      </c>
      <c r="D21" s="12" t="inlineStr">
        <is>
          <t>Tapper à nouveau sur l'étoile dorée</t>
        </is>
      </c>
      <c r="E21" s="12" t="inlineStr">
        <is>
          <t>Article retiré des favoris</t>
        </is>
      </c>
      <c r="F21" s="13" t="inlineStr">
        <is>
          <t>NORMALE</t>
        </is>
      </c>
      <c r="G21" s="13" t="inlineStr">
        <is>
          <t>☐ À tester</t>
        </is>
      </c>
      <c r="H21" s="13" t="n"/>
      <c r="I21" s="12" t="n"/>
      <c r="J21" s="12" t="n"/>
      <c r="K21" s="12" t="n"/>
    </row>
    <row r="22">
      <c r="A22" s="10" t="inlineStr">
        <is>
          <t>Navigation CGI</t>
        </is>
      </c>
      <c r="B22" s="10" t="inlineStr">
        <is>
          <t>CGI-09</t>
        </is>
      </c>
      <c r="C22" s="10" t="inlineStr">
        <is>
          <t>Liste des Favoris</t>
        </is>
      </c>
      <c r="D22" s="10" t="inlineStr">
        <is>
          <t>Aller dans Profil → Favoris</t>
        </is>
      </c>
      <c r="E22" s="10" t="inlineStr">
        <is>
          <t>Liste des articles mis en favoris affichée</t>
        </is>
      </c>
      <c r="F22" s="11" t="inlineStr">
        <is>
          <t>NORMALE</t>
        </is>
      </c>
      <c r="G22" s="11" t="inlineStr">
        <is>
          <t>☐ À tester</t>
        </is>
      </c>
      <c r="H22" s="11" t="n"/>
      <c r="I22" s="10" t="n"/>
      <c r="J22" s="10" t="n"/>
      <c r="K22" s="10" t="n"/>
    </row>
    <row r="23">
      <c r="A23" s="12" t="inlineStr">
        <is>
          <t>Navigation CGI</t>
        </is>
      </c>
      <c r="B23" s="12" t="inlineStr">
        <is>
          <t>CGI-10</t>
        </is>
      </c>
      <c r="C23" s="12" t="inlineStr">
        <is>
          <t>Partage d'un article</t>
        </is>
      </c>
      <c r="D23" s="12" t="inlineStr">
        <is>
          <t>Ouvrir un article → bouton Partager</t>
        </is>
      </c>
      <c r="E23" s="12" t="inlineStr">
        <is>
          <t>Feuille de partage s'ouvre</t>
        </is>
      </c>
      <c r="F23" s="13" t="inlineStr">
        <is>
          <t>NORMALE</t>
        </is>
      </c>
      <c r="G23" s="13" t="inlineStr">
        <is>
          <t>☐ À tester</t>
        </is>
      </c>
      <c r="H23" s="13" t="n"/>
      <c r="I23" s="12" t="n"/>
      <c r="J23" s="12" t="n"/>
      <c r="K23" s="12" t="n"/>
    </row>
    <row r="24">
      <c r="A24" s="10" t="inlineStr">
        <is>
          <t>Navigation CGI</t>
        </is>
      </c>
      <c r="B24" s="10" t="inlineStr">
        <is>
          <t>CGI-11</t>
        </is>
      </c>
      <c r="C24" s="10" t="inlineStr">
        <is>
          <t>Lecture audio (text-to-speech)</t>
        </is>
      </c>
      <c r="D24" s="10" t="inlineStr">
        <is>
          <t>Ouvrir un article → bouton audio</t>
        </is>
      </c>
      <c r="E24" s="10" t="inlineStr">
        <is>
          <t>Synthèse vocale lit le contenu en français</t>
        </is>
      </c>
      <c r="F24" s="11" t="inlineStr">
        <is>
          <t>NORMALE</t>
        </is>
      </c>
      <c r="G24" s="11" t="inlineStr">
        <is>
          <t>☐ À tester</t>
        </is>
      </c>
      <c r="H24" s="11" t="n"/>
      <c r="I24" s="10" t="n"/>
      <c r="J24" s="10" t="n"/>
      <c r="K24" s="10" t="n"/>
    </row>
    <row r="25">
      <c r="A25" s="12" t="inlineStr">
        <is>
          <t>Navigation CGI</t>
        </is>
      </c>
      <c r="B25" s="12" t="inlineStr">
        <is>
          <t>CGI-12</t>
        </is>
      </c>
      <c r="C25" s="12" t="inlineStr">
        <is>
          <t>Mode hors-ligne</t>
        </is>
      </c>
      <c r="D25" s="12" t="inlineStr">
        <is>
          <t>Couper le Wi-Fi → rouvrir un article consulté</t>
        </is>
      </c>
      <c r="E25" s="12" t="inlineStr">
        <is>
          <t>Article s'affiche depuis le cache local</t>
        </is>
      </c>
      <c r="F25" s="19" t="inlineStr">
        <is>
          <t>HAUTE</t>
        </is>
      </c>
      <c r="G25" s="13" t="inlineStr">
        <is>
          <t>☐ À tester</t>
        </is>
      </c>
      <c r="H25" s="13" t="n"/>
      <c r="I25" s="12" t="n"/>
      <c r="J25" s="12" t="n"/>
      <c r="K25" s="12" t="n"/>
    </row>
    <row r="26">
      <c r="A26" s="10" t="inlineStr">
        <is>
          <t>Navigation CGI</t>
        </is>
      </c>
      <c r="B26" s="10" t="inlineStr">
        <is>
          <t>CGI-13</t>
        </is>
      </c>
      <c r="C26" s="10" t="inlineStr">
        <is>
          <t>2 181+ articles présents</t>
        </is>
      </c>
      <c r="D26" s="10" t="inlineStr">
        <is>
          <t>Vérifier le compteur total d'articles</t>
        </is>
      </c>
      <c r="E26" s="10" t="inlineStr">
        <is>
          <t>Total = 2 181+ articles CGI</t>
        </is>
      </c>
      <c r="F26" s="18" t="inlineStr">
        <is>
          <t>CRITIQUE</t>
        </is>
      </c>
      <c r="G26" s="11" t="inlineStr">
        <is>
          <t>☐ À tester</t>
        </is>
      </c>
      <c r="H26" s="11" t="n"/>
      <c r="I26" s="10" t="n"/>
      <c r="J26" s="10" t="n"/>
      <c r="K26" s="10" t="n"/>
    </row>
    <row r="27">
      <c r="A27" s="12" t="inlineStr">
        <is>
          <t>Recherche</t>
        </is>
      </c>
      <c r="B27" s="12" t="inlineStr">
        <is>
          <t>RECH-01</t>
        </is>
      </c>
      <c r="C27" s="12" t="inlineStr">
        <is>
          <t>Recherche par numéro d'article</t>
        </is>
      </c>
      <c r="D27" s="12" t="inlineStr">
        <is>
          <t>Taper 'Art. 45' dans la barre de recherche</t>
        </is>
      </c>
      <c r="E27" s="12" t="inlineStr">
        <is>
          <t>Article 45 affiché en premier résultat</t>
        </is>
      </c>
      <c r="F27" s="18" t="inlineStr">
        <is>
          <t>CRITIQUE</t>
        </is>
      </c>
      <c r="G27" s="13" t="inlineStr">
        <is>
          <t>☐ À tester</t>
        </is>
      </c>
      <c r="H27" s="13" t="n"/>
      <c r="I27" s="12" t="n"/>
      <c r="J27" s="12" t="n"/>
      <c r="K27" s="12" t="n"/>
    </row>
    <row r="28">
      <c r="A28" s="10" t="inlineStr">
        <is>
          <t>Recherche</t>
        </is>
      </c>
      <c r="B28" s="10" t="inlineStr">
        <is>
          <t>RECH-02</t>
        </is>
      </c>
      <c r="C28" s="10" t="inlineStr">
        <is>
          <t>Recherche par mot-clé</t>
        </is>
      </c>
      <c r="D28" s="10" t="inlineStr">
        <is>
          <t>Taper 'taxe sur la valeur ajoutée'</t>
        </is>
      </c>
      <c r="E28" s="10" t="inlineStr">
        <is>
          <t>Articles TVA listés par pertinence</t>
        </is>
      </c>
      <c r="F28" s="19" t="inlineStr">
        <is>
          <t>HAUTE</t>
        </is>
      </c>
      <c r="G28" s="11" t="inlineStr">
        <is>
          <t>☐ À tester</t>
        </is>
      </c>
      <c r="H28" s="11" t="n"/>
      <c r="I28" s="10" t="n"/>
      <c r="J28" s="10" t="n"/>
      <c r="K28" s="10" t="n"/>
    </row>
    <row r="29">
      <c r="A29" s="12" t="inlineStr">
        <is>
          <t>Recherche</t>
        </is>
      </c>
      <c r="B29" s="12" t="inlineStr">
        <is>
          <t>RECH-03</t>
        </is>
      </c>
      <c r="C29" s="12" t="inlineStr">
        <is>
          <t>Recherche sans accent</t>
        </is>
      </c>
      <c r="D29" s="12" t="inlineStr">
        <is>
          <t>Taper 'impot sur le revenu' (sans accent)</t>
        </is>
      </c>
      <c r="E29" s="12" t="inlineStr">
        <is>
          <t>Résultats pertinents malgré l'absence d'accent</t>
        </is>
      </c>
      <c r="F29" s="19" t="inlineStr">
        <is>
          <t>HAUTE</t>
        </is>
      </c>
      <c r="G29" s="13" t="inlineStr">
        <is>
          <t>☐ À tester</t>
        </is>
      </c>
      <c r="H29" s="13" t="n"/>
      <c r="I29" s="12" t="n"/>
      <c r="J29" s="12" t="n"/>
      <c r="K29" s="12" t="n"/>
    </row>
    <row r="30">
      <c r="A30" s="10" t="inlineStr">
        <is>
          <t>Recherche</t>
        </is>
      </c>
      <c r="B30" s="10" t="inlineStr">
        <is>
          <t>RECH-04</t>
        </is>
      </c>
      <c r="C30" s="10" t="inlineStr">
        <is>
          <t>Recherche vocale</t>
        </is>
      </c>
      <c r="D30" s="10" t="inlineStr">
        <is>
          <t>Appuyer sur micro → dicter 'impôt sur les sociétés'</t>
        </is>
      </c>
      <c r="E30" s="10" t="inlineStr">
        <is>
          <t>Reconnaissance vocale, résultats IS affichés</t>
        </is>
      </c>
      <c r="F30" s="19" t="inlineStr">
        <is>
          <t>HAUTE</t>
        </is>
      </c>
      <c r="G30" s="11" t="inlineStr">
        <is>
          <t>☐ À tester</t>
        </is>
      </c>
      <c r="H30" s="11" t="n"/>
      <c r="I30" s="10" t="n"/>
      <c r="J30" s="10" t="n"/>
      <c r="K30" s="10" t="n"/>
    </row>
    <row r="31">
      <c r="A31" s="12" t="inlineStr">
        <is>
          <t>Recherche</t>
        </is>
      </c>
      <c r="B31" s="12" t="inlineStr">
        <is>
          <t>RECH-05</t>
        </is>
      </c>
      <c r="C31" s="12" t="inlineStr">
        <is>
          <t>Recherche sans résultat</t>
        </is>
      </c>
      <c r="D31" s="12" t="inlineStr">
        <is>
          <t>Taper une chaîne aléatoire (ex: 'zzqwerty123')</t>
        </is>
      </c>
      <c r="E31" s="12" t="inlineStr">
        <is>
          <t>Message 'Aucun résultat' proprement, pas de crash</t>
        </is>
      </c>
      <c r="F31" s="13" t="inlineStr">
        <is>
          <t>NORMALE</t>
        </is>
      </c>
      <c r="G31" s="13" t="inlineStr">
        <is>
          <t>☐ À tester</t>
        </is>
      </c>
      <c r="H31" s="13" t="n"/>
      <c r="I31" s="12" t="n"/>
      <c r="J31" s="12" t="n"/>
      <c r="K31" s="12" t="n"/>
    </row>
    <row r="32">
      <c r="A32" s="10" t="inlineStr">
        <is>
          <t>Recherche</t>
        </is>
      </c>
      <c r="B32" s="10" t="inlineStr">
        <is>
          <t>RECH-06</t>
        </is>
      </c>
      <c r="C32" s="10" t="inlineStr">
        <is>
          <t>Résultat → accès direct article</t>
        </is>
      </c>
      <c r="D32" s="10" t="inlineStr">
        <is>
          <t>Effectuer une recherche → tapper sur un résultat</t>
        </is>
      </c>
      <c r="E32" s="10" t="inlineStr">
        <is>
          <t>Article sélectionné s'ouvre en lecture</t>
        </is>
      </c>
      <c r="F32" s="19" t="inlineStr">
        <is>
          <t>HAUTE</t>
        </is>
      </c>
      <c r="G32" s="11" t="inlineStr">
        <is>
          <t>☐ À tester</t>
        </is>
      </c>
      <c r="H32" s="11" t="n"/>
      <c r="I32" s="10" t="n"/>
      <c r="J32" s="10" t="n"/>
      <c r="K32" s="10" t="n"/>
    </row>
    <row r="33">
      <c r="A33" s="12" t="inlineStr">
        <is>
          <t>Simulateurs</t>
        </is>
      </c>
      <c r="B33" s="12" t="inlineStr">
        <is>
          <t>SIM-01</t>
        </is>
      </c>
      <c r="C33" s="12" t="inlineStr">
        <is>
          <t>Simulateur ITS</t>
        </is>
      </c>
      <c r="D33" s="12" t="inlineStr">
        <is>
          <t>Salaire brut = 500 000 FCFA → calculer</t>
        </is>
      </c>
      <c r="E33" s="12" t="inlineStr">
        <is>
          <t>Résultat ITS correct avec barème, références articles citées</t>
        </is>
      </c>
      <c r="F33" s="18" t="inlineStr">
        <is>
          <t>CRITIQUE</t>
        </is>
      </c>
      <c r="G33" s="13" t="inlineStr">
        <is>
          <t>☐ À tester</t>
        </is>
      </c>
      <c r="H33" s="13" t="n"/>
      <c r="I33" s="12" t="n"/>
      <c r="J33" s="12" t="n"/>
      <c r="K33" s="12" t="n"/>
    </row>
    <row r="34">
      <c r="A34" s="10" t="inlineStr">
        <is>
          <t>Simulateurs</t>
        </is>
      </c>
      <c r="B34" s="10" t="inlineStr">
        <is>
          <t>SIM-02</t>
        </is>
      </c>
      <c r="C34" s="10" t="inlineStr">
        <is>
          <t>Simulateur IS</t>
        </is>
      </c>
      <c r="D34" s="10" t="inlineStr">
        <is>
          <t>Bénéfice imposable = 10 000 000 FCFA → calculer</t>
        </is>
      </c>
      <c r="E34" s="10" t="inlineStr">
        <is>
          <t>IS calculé selon taux en vigueur (28%)</t>
        </is>
      </c>
      <c r="F34" s="18" t="inlineStr">
        <is>
          <t>CRITIQUE</t>
        </is>
      </c>
      <c r="G34" s="11" t="inlineStr">
        <is>
          <t>☐ À tester</t>
        </is>
      </c>
      <c r="H34" s="11" t="n"/>
      <c r="I34" s="10" t="n"/>
      <c r="J34" s="10" t="n"/>
      <c r="K34" s="10" t="n"/>
    </row>
    <row r="35">
      <c r="A35" s="12" t="inlineStr">
        <is>
          <t>Simulateurs</t>
        </is>
      </c>
      <c r="B35" s="12" t="inlineStr">
        <is>
          <t>SIM-03</t>
        </is>
      </c>
      <c r="C35" s="12" t="inlineStr">
        <is>
          <t>Simulateur TVA</t>
        </is>
      </c>
      <c r="D35" s="12" t="inlineStr">
        <is>
          <t>Montant HT = 1 000 000 FCFA → calculer</t>
        </is>
      </c>
      <c r="E35" s="12" t="inlineStr">
        <is>
          <t>TVA = 180 000 FCFA (18%), TTC affiché</t>
        </is>
      </c>
      <c r="F35" s="18" t="inlineStr">
        <is>
          <t>CRITIQUE</t>
        </is>
      </c>
      <c r="G35" s="13" t="inlineStr">
        <is>
          <t>☐ À tester</t>
        </is>
      </c>
      <c r="H35" s="13" t="n"/>
      <c r="I35" s="12" t="n"/>
      <c r="J35" s="12" t="n"/>
      <c r="K35" s="12" t="n"/>
    </row>
    <row r="36">
      <c r="A36" s="10" t="inlineStr">
        <is>
          <t>Simulateurs</t>
        </is>
      </c>
      <c r="B36" s="10" t="inlineStr">
        <is>
          <t>SIM-04</t>
        </is>
      </c>
      <c r="C36" s="10" t="inlineStr">
        <is>
          <t>Simulateur Paie Congo</t>
        </is>
      </c>
      <c r="D36" s="10" t="inlineStr">
        <is>
          <t>Brut = 300 000 + ancienneté 5 ans → simuler</t>
        </is>
      </c>
      <c r="E36" s="10" t="inlineStr">
        <is>
          <t>Fiche de paie avec CNSS, ITS, TUS, net à payer</t>
        </is>
      </c>
      <c r="F36" s="18" t="inlineStr">
        <is>
          <t>CRITIQUE</t>
        </is>
      </c>
      <c r="G36" s="11" t="inlineStr">
        <is>
          <t>☐ À tester</t>
        </is>
      </c>
      <c r="H36" s="11" t="n"/>
      <c r="I36" s="10" t="n"/>
      <c r="J36" s="10" t="n"/>
      <c r="K36" s="10" t="n"/>
    </row>
    <row r="37">
      <c r="A37" s="12" t="inlineStr">
        <is>
          <t>Simulateurs</t>
        </is>
      </c>
      <c r="B37" s="12" t="inlineStr">
        <is>
          <t>SIM-05</t>
        </is>
      </c>
      <c r="C37" s="12" t="inlineStr">
        <is>
          <t>Retenue à la Source</t>
        </is>
      </c>
      <c r="D37" s="12" t="inlineStr">
        <is>
          <t>Honoraire = 500 000 FCFA → RAS</t>
        </is>
      </c>
      <c r="E37" s="12" t="inlineStr">
        <is>
          <t>RAS calculée correctement</t>
        </is>
      </c>
      <c r="F37" s="19" t="inlineStr">
        <is>
          <t>HAUTE</t>
        </is>
      </c>
      <c r="G37" s="13" t="inlineStr">
        <is>
          <t>☐ À tester</t>
        </is>
      </c>
      <c r="H37" s="13" t="n"/>
      <c r="I37" s="12" t="n"/>
      <c r="J37" s="12" t="n"/>
      <c r="K37" s="12" t="n"/>
    </row>
    <row r="38">
      <c r="A38" s="10" t="inlineStr">
        <is>
          <t>Simulateurs</t>
        </is>
      </c>
      <c r="B38" s="10" t="inlineStr">
        <is>
          <t>SIM-06</t>
        </is>
      </c>
      <c r="C38" s="10" t="inlineStr">
        <is>
          <t>Simulateur Patente</t>
        </is>
      </c>
      <c r="D38" s="10" t="inlineStr">
        <is>
          <t>Renseigner CA + activité → calculer</t>
        </is>
      </c>
      <c r="E38" s="10" t="inlineStr">
        <is>
          <t>Montant patente calculé selon grille</t>
        </is>
      </c>
      <c r="F38" s="19" t="inlineStr">
        <is>
          <t>HAUTE</t>
        </is>
      </c>
      <c r="G38" s="11" t="inlineStr">
        <is>
          <t>☐ À tester</t>
        </is>
      </c>
      <c r="H38" s="11" t="n"/>
      <c r="I38" s="10" t="n"/>
      <c r="J38" s="10" t="n"/>
      <c r="K38" s="10" t="n"/>
    </row>
    <row r="39">
      <c r="A39" s="12" t="inlineStr">
        <is>
          <t>Simulateurs</t>
        </is>
      </c>
      <c r="B39" s="12" t="inlineStr">
        <is>
          <t>SIM-07</t>
        </is>
      </c>
      <c r="C39" s="12" t="inlineStr">
        <is>
          <t>Simulateur IBA</t>
        </is>
      </c>
      <c r="D39" s="12" t="inlineStr">
        <is>
          <t>Renseigner revenu agricole → calculer</t>
        </is>
      </c>
      <c r="E39" s="12" t="inlineStr">
        <is>
          <t>IBA calculé, barème affiché</t>
        </is>
      </c>
      <c r="F39" s="13" t="inlineStr">
        <is>
          <t>NORMALE</t>
        </is>
      </c>
      <c r="G39" s="13" t="inlineStr">
        <is>
          <t>☐ À tester</t>
        </is>
      </c>
      <c r="H39" s="13" t="n"/>
      <c r="I39" s="12" t="n"/>
      <c r="J39" s="12" t="n"/>
      <c r="K39" s="12" t="n"/>
    </row>
    <row r="40">
      <c r="A40" s="10" t="inlineStr">
        <is>
          <t>Simulateurs</t>
        </is>
      </c>
      <c r="B40" s="10" t="inlineStr">
        <is>
          <t>SIM-08</t>
        </is>
      </c>
      <c r="C40" s="10" t="inlineStr">
        <is>
          <t>Simulateur IRCM</t>
        </is>
      </c>
      <c r="D40" s="10" t="inlineStr">
        <is>
          <t>Dividendes = 2 000 000 FCFA → calculer</t>
        </is>
      </c>
      <c r="E40" s="10" t="inlineStr">
        <is>
          <t>IRCM calculé (taux 15%)</t>
        </is>
      </c>
      <c r="F40" s="11" t="inlineStr">
        <is>
          <t>NORMALE</t>
        </is>
      </c>
      <c r="G40" s="11" t="inlineStr">
        <is>
          <t>☐ À tester</t>
        </is>
      </c>
      <c r="H40" s="11" t="n"/>
      <c r="I40" s="10" t="n"/>
      <c r="J40" s="10" t="n"/>
      <c r="K40" s="10" t="n"/>
    </row>
    <row r="41">
      <c r="A41" s="12" t="inlineStr">
        <is>
          <t>Simulateurs</t>
        </is>
      </c>
      <c r="B41" s="12" t="inlineStr">
        <is>
          <t>SIM-09</t>
        </is>
      </c>
      <c r="C41" s="12" t="inlineStr">
        <is>
          <t>Simulateur IRF (Loyers)</t>
        </is>
      </c>
      <c r="D41" s="12" t="inlineStr">
        <is>
          <t>Loyer mensuel = 200 000 FCFA → IRF</t>
        </is>
      </c>
      <c r="E41" s="12" t="inlineStr">
        <is>
          <t>IRF calculé avec taux 9%</t>
        </is>
      </c>
      <c r="F41" s="13" t="inlineStr">
        <is>
          <t>NORMALE</t>
        </is>
      </c>
      <c r="G41" s="13" t="inlineStr">
        <is>
          <t>☐ À tester</t>
        </is>
      </c>
      <c r="H41" s="13" t="n"/>
      <c r="I41" s="12" t="n"/>
      <c r="J41" s="12" t="n"/>
      <c r="K41" s="12" t="n"/>
    </row>
    <row r="42">
      <c r="A42" s="10" t="inlineStr">
        <is>
          <t>Simulateurs</t>
        </is>
      </c>
      <c r="B42" s="10" t="inlineStr">
        <is>
          <t>SIM-10</t>
        </is>
      </c>
      <c r="C42" s="10" t="inlineStr">
        <is>
          <t>Taxe Immobilière</t>
        </is>
      </c>
      <c r="D42" s="10" t="inlineStr">
        <is>
          <t>Valeur vénale = 30 000 000 FCFA → calculer</t>
        </is>
      </c>
      <c r="E42" s="10" t="inlineStr">
        <is>
          <t>Taxe calculée</t>
        </is>
      </c>
      <c r="F42" s="11" t="inlineStr">
        <is>
          <t>NORMALE</t>
        </is>
      </c>
      <c r="G42" s="11" t="inlineStr">
        <is>
          <t>☐ À tester</t>
        </is>
      </c>
      <c r="H42" s="11" t="n"/>
      <c r="I42" s="10" t="n"/>
      <c r="J42" s="10" t="n"/>
      <c r="K42" s="10" t="n"/>
    </row>
    <row r="43">
      <c r="A43" s="12" t="inlineStr">
        <is>
          <t>Simulateurs</t>
        </is>
      </c>
      <c r="B43" s="12" t="inlineStr">
        <is>
          <t>SIM-11</t>
        </is>
      </c>
      <c r="C43" s="12" t="inlineStr">
        <is>
          <t>Droits d'Enregistrement</t>
        </is>
      </c>
      <c r="D43" s="12" t="inlineStr">
        <is>
          <t>Saisir valeur de cession → calculer</t>
        </is>
      </c>
      <c r="E43" s="12" t="inlineStr">
        <is>
          <t>Droits calculés selon nature de l'acte</t>
        </is>
      </c>
      <c r="F43" s="13" t="inlineStr">
        <is>
          <t>NORMALE</t>
        </is>
      </c>
      <c r="G43" s="13" t="inlineStr">
        <is>
          <t>☐ À tester</t>
        </is>
      </c>
      <c r="H43" s="13" t="n"/>
      <c r="I43" s="12" t="n"/>
      <c r="J43" s="12" t="n"/>
      <c r="K43" s="12" t="n"/>
    </row>
    <row r="44">
      <c r="A44" s="10" t="inlineStr">
        <is>
          <t>Simulateurs</t>
        </is>
      </c>
      <c r="B44" s="10" t="inlineStr">
        <is>
          <t>SIM-12</t>
        </is>
      </c>
      <c r="C44" s="10" t="inlineStr">
        <is>
          <t>Cession de Parts Sociales</t>
        </is>
      </c>
      <c r="D44" s="10" t="inlineStr">
        <is>
          <t>Prix cession = 5 000 000 FCFA → calculer</t>
        </is>
      </c>
      <c r="E44" s="10" t="inlineStr">
        <is>
          <t>Droits de cession calculés</t>
        </is>
      </c>
      <c r="F44" s="11" t="inlineStr">
        <is>
          <t>NORMALE</t>
        </is>
      </c>
      <c r="G44" s="11" t="inlineStr">
        <is>
          <t>☐ À tester</t>
        </is>
      </c>
      <c r="H44" s="11" t="n"/>
      <c r="I44" s="10" t="n"/>
      <c r="J44" s="10" t="n"/>
      <c r="K44" s="10" t="n"/>
    </row>
    <row r="45">
      <c r="A45" s="12" t="inlineStr">
        <is>
          <t>Simulateurs</t>
        </is>
      </c>
      <c r="B45" s="12" t="inlineStr">
        <is>
          <t>SIM-13</t>
        </is>
      </c>
      <c r="C45" s="12" t="inlineStr">
        <is>
          <t>Contribution Foncière</t>
        </is>
      </c>
      <c r="D45" s="12" t="inlineStr">
        <is>
          <t>Saisir surface + localisation → calculer</t>
        </is>
      </c>
      <c r="E45" s="12" t="inlineStr">
        <is>
          <t>Contribution foncière calculée</t>
        </is>
      </c>
      <c r="F45" s="13" t="inlineStr">
        <is>
          <t>NORMALE</t>
        </is>
      </c>
      <c r="G45" s="13" t="inlineStr">
        <is>
          <t>☐ À tester</t>
        </is>
      </c>
      <c r="H45" s="13" t="n"/>
      <c r="I45" s="12" t="n"/>
      <c r="J45" s="12" t="n"/>
      <c r="K45" s="12" t="n"/>
    </row>
    <row r="46">
      <c r="A46" s="10" t="inlineStr">
        <is>
          <t>Simulateurs</t>
        </is>
      </c>
      <c r="B46" s="10" t="inlineStr">
        <is>
          <t>SIM-14</t>
        </is>
      </c>
      <c r="C46" s="10" t="inlineStr">
        <is>
          <t>Simulateur IGF</t>
        </is>
      </c>
      <c r="D46" s="10" t="inlineStr">
        <is>
          <t>Patrimoine net = 500 000 000 FCFA → calculer</t>
        </is>
      </c>
      <c r="E46" s="10" t="inlineStr">
        <is>
          <t>IGF calculé selon barème</t>
        </is>
      </c>
      <c r="F46" s="11" t="inlineStr">
        <is>
          <t>NORMALE</t>
        </is>
      </c>
      <c r="G46" s="11" t="inlineStr">
        <is>
          <t>☐ À tester</t>
        </is>
      </c>
      <c r="H46" s="11" t="n"/>
      <c r="I46" s="10" t="n"/>
      <c r="J46" s="10" t="n"/>
      <c r="K46" s="10" t="n"/>
    </row>
    <row r="47">
      <c r="A47" s="12" t="inlineStr">
        <is>
          <t>Simulateurs</t>
        </is>
      </c>
      <c r="B47" s="12" t="inlineStr">
        <is>
          <t>SIM-15</t>
        </is>
      </c>
      <c r="C47" s="12" t="inlineStr">
        <is>
          <t>IS Parapétrolier</t>
        </is>
      </c>
      <c r="D47" s="12" t="inlineStr">
        <is>
          <t>Saisir résultat fiscal → calculer</t>
        </is>
      </c>
      <c r="E47" s="12" t="inlineStr">
        <is>
          <t>IS parapétrolier appliqué</t>
        </is>
      </c>
      <c r="F47" s="19" t="inlineStr">
        <is>
          <t>HAUTE</t>
        </is>
      </c>
      <c r="G47" s="13" t="inlineStr">
        <is>
          <t>☐ À tester</t>
        </is>
      </c>
      <c r="H47" s="13" t="n"/>
      <c r="I47" s="12" t="n"/>
      <c r="J47" s="12" t="n"/>
      <c r="K47" s="12" t="n"/>
    </row>
    <row r="48">
      <c r="A48" s="10" t="inlineStr">
        <is>
          <t>Simulateurs</t>
        </is>
      </c>
      <c r="B48" s="10" t="inlineStr">
        <is>
          <t>SIM-16</t>
        </is>
      </c>
      <c r="C48" s="10" t="inlineStr">
        <is>
          <t>Solde de Liquidation</t>
        </is>
      </c>
      <c r="D48" s="10" t="inlineStr">
        <is>
          <t>Renseigner actifs nets → calculer</t>
        </is>
      </c>
      <c r="E48" s="10" t="inlineStr">
        <is>
          <t>Impôt sur solde calculé</t>
        </is>
      </c>
      <c r="F48" s="11" t="inlineStr">
        <is>
          <t>NORMALE</t>
        </is>
      </c>
      <c r="G48" s="11" t="inlineStr">
        <is>
          <t>☐ À tester</t>
        </is>
      </c>
      <c r="H48" s="11" t="n"/>
      <c r="I48" s="10" t="n"/>
      <c r="J48" s="10" t="n"/>
      <c r="K48" s="10" t="n"/>
    </row>
    <row r="49">
      <c r="A49" s="12" t="inlineStr">
        <is>
          <t>Simulateurs</t>
        </is>
      </c>
      <c r="B49" s="12" t="inlineStr">
        <is>
          <t>SIM-17</t>
        </is>
      </c>
      <c r="C49" s="12" t="inlineStr">
        <is>
          <t>Lien article de référence</t>
        </is>
      </c>
      <c r="D49" s="12" t="inlineStr">
        <is>
          <t>Après calcul, appuyer sur l'article cité</t>
        </is>
      </c>
      <c r="E49" s="12" t="inlineStr">
        <is>
          <t>Article CGI de référence s'ouvre</t>
        </is>
      </c>
      <c r="F49" s="19" t="inlineStr">
        <is>
          <t>HAUTE</t>
        </is>
      </c>
      <c r="G49" s="13" t="inlineStr">
        <is>
          <t>☐ À tester</t>
        </is>
      </c>
      <c r="H49" s="13" t="n"/>
      <c r="I49" s="12" t="n"/>
      <c r="J49" s="12" t="n"/>
      <c r="K49" s="12" t="n"/>
    </row>
    <row r="50">
      <c r="A50" s="10" t="inlineStr">
        <is>
          <t>Simulateurs</t>
        </is>
      </c>
      <c r="B50" s="10" t="inlineStr">
        <is>
          <t>SIM-18</t>
        </is>
      </c>
      <c r="C50" s="10" t="inlineStr">
        <is>
          <t>Saisie invalide (lettres dans champ num.)</t>
        </is>
      </c>
      <c r="D50" s="10" t="inlineStr">
        <is>
          <t>Taper 'abc' dans un champ numérique</t>
        </is>
      </c>
      <c r="E50" s="10" t="inlineStr">
        <is>
          <t>Message d'erreur, pas de crash</t>
        </is>
      </c>
      <c r="F50" s="19" t="inlineStr">
        <is>
          <t>HAUTE</t>
        </is>
      </c>
      <c r="G50" s="11" t="inlineStr">
        <is>
          <t>☐ À tester</t>
        </is>
      </c>
      <c r="H50" s="11" t="n"/>
      <c r="I50" s="10" t="n"/>
      <c r="J50" s="10" t="n"/>
      <c r="K50" s="10" t="n"/>
    </row>
    <row r="51">
      <c r="A51" s="12" t="inlineStr">
        <is>
          <t>Simulateurs</t>
        </is>
      </c>
      <c r="B51" s="12" t="inlineStr">
        <is>
          <t>SIM-19</t>
        </is>
      </c>
      <c r="C51" s="12" t="inlineStr">
        <is>
          <t>Remise à zéro simulateur</t>
        </is>
      </c>
      <c r="D51" s="12" t="inlineStr">
        <is>
          <t>Après calcul → Réinitialiser</t>
        </is>
      </c>
      <c r="E51" s="12" t="inlineStr">
        <is>
          <t>Tous les champs remis à zéro</t>
        </is>
      </c>
      <c r="F51" s="13" t="inlineStr">
        <is>
          <t>NORMALE</t>
        </is>
      </c>
      <c r="G51" s="13" t="inlineStr">
        <is>
          <t>☐ À tester</t>
        </is>
      </c>
      <c r="H51" s="13" t="n"/>
      <c r="I51" s="12" t="n"/>
      <c r="J51" s="12" t="n"/>
      <c r="K51" s="12" t="n"/>
    </row>
    <row r="52">
      <c r="A52" s="10" t="inlineStr">
        <is>
          <t>Assistant IA</t>
        </is>
      </c>
      <c r="B52" s="10" t="inlineStr">
        <is>
          <t>IA-01</t>
        </is>
      </c>
      <c r="C52" s="10" t="inlineStr">
        <is>
          <t>Question fiscale générale</t>
        </is>
      </c>
      <c r="D52" s="10" t="inlineStr">
        <is>
          <t>Taper: 'Quel est le taux d'IS au Congo ?'</t>
        </is>
      </c>
      <c r="E52" s="10" t="inlineStr">
        <is>
          <t>Réponse correcte avec citation article source</t>
        </is>
      </c>
      <c r="F52" s="18" t="inlineStr">
        <is>
          <t>CRITIQUE</t>
        </is>
      </c>
      <c r="G52" s="11" t="inlineStr">
        <is>
          <t>☐ À tester</t>
        </is>
      </c>
      <c r="H52" s="11" t="n"/>
      <c r="I52" s="10" t="n"/>
      <c r="J52" s="10" t="n"/>
      <c r="K52" s="10" t="n"/>
    </row>
    <row r="53">
      <c r="A53" s="12" t="inlineStr">
        <is>
          <t>Assistant IA</t>
        </is>
      </c>
      <c r="B53" s="12" t="inlineStr">
        <is>
          <t>IA-02</t>
        </is>
      </c>
      <c r="C53" s="12" t="inlineStr">
        <is>
          <t>Question sur article spécifique</t>
        </is>
      </c>
      <c r="D53" s="12" t="inlineStr">
        <is>
          <t>Taper: 'Que dit l'article 147 du CGI ?'</t>
        </is>
      </c>
      <c r="E53" s="12" t="inlineStr">
        <is>
          <t>Résumé fidèle + lien cliquable vers l'article</t>
        </is>
      </c>
      <c r="F53" s="18" t="inlineStr">
        <is>
          <t>CRITIQUE</t>
        </is>
      </c>
      <c r="G53" s="13" t="inlineStr">
        <is>
          <t>☐ À tester</t>
        </is>
      </c>
      <c r="H53" s="13" t="n"/>
      <c r="I53" s="12" t="n"/>
      <c r="J53" s="12" t="n"/>
      <c r="K53" s="12" t="n"/>
    </row>
    <row r="54">
      <c r="A54" s="10" t="inlineStr">
        <is>
          <t>Assistant IA</t>
        </is>
      </c>
      <c r="B54" s="10" t="inlineStr">
        <is>
          <t>IA-03</t>
        </is>
      </c>
      <c r="C54" s="10" t="inlineStr">
        <is>
          <t>Question sur la TVA</t>
        </is>
      </c>
      <c r="D54" s="10" t="inlineStr">
        <is>
          <t>Taper: 'Quelles opérations sont exonérées de TVA ?'</t>
        </is>
      </c>
      <c r="E54" s="10" t="inlineStr">
        <is>
          <t>Liste des exonérations TVA avec articles</t>
        </is>
      </c>
      <c r="F54" s="19" t="inlineStr">
        <is>
          <t>HAUTE</t>
        </is>
      </c>
      <c r="G54" s="11" t="inlineStr">
        <is>
          <t>☐ À tester</t>
        </is>
      </c>
      <c r="H54" s="11" t="n"/>
      <c r="I54" s="10" t="n"/>
      <c r="J54" s="10" t="n"/>
      <c r="K54" s="10" t="n"/>
    </row>
    <row r="55">
      <c r="A55" s="12" t="inlineStr">
        <is>
          <t>Assistant IA</t>
        </is>
      </c>
      <c r="B55" s="12" t="inlineStr">
        <is>
          <t>IA-04</t>
        </is>
      </c>
      <c r="C55" s="12" t="inlineStr">
        <is>
          <t>Question calcul ITS</t>
        </is>
      </c>
      <c r="D55" s="12" t="inlineStr">
        <is>
          <t>Taper: 'Comment calculer l'ITS sur 600 000 FCFA ?'</t>
        </is>
      </c>
      <c r="E55" s="12" t="inlineStr">
        <is>
          <t>Calcul ITS détaillé pas à pas avec barème</t>
        </is>
      </c>
      <c r="F55" s="19" t="inlineStr">
        <is>
          <t>HAUTE</t>
        </is>
      </c>
      <c r="G55" s="13" t="inlineStr">
        <is>
          <t>☐ À tester</t>
        </is>
      </c>
      <c r="H55" s="13" t="n"/>
      <c r="I55" s="12" t="n"/>
      <c r="J55" s="12" t="n"/>
      <c r="K55" s="12" t="n"/>
    </row>
    <row r="56">
      <c r="A56" s="10" t="inlineStr">
        <is>
          <t>Assistant IA</t>
        </is>
      </c>
      <c r="B56" s="10" t="inlineStr">
        <is>
          <t>IA-05</t>
        </is>
      </c>
      <c r="C56" s="10" t="inlineStr">
        <is>
          <t>Question hors scope</t>
        </is>
      </c>
      <c r="D56" s="10" t="inlineStr">
        <is>
          <t>Taper: 'Quelle est la capitale de la France ?'</t>
        </is>
      </c>
      <c r="E56" s="10" t="inlineStr">
        <is>
          <t>Réponse indiquant que l'IA est spécialisée CGI/Social</t>
        </is>
      </c>
      <c r="F56" s="11" t="inlineStr">
        <is>
          <t>NORMALE</t>
        </is>
      </c>
      <c r="G56" s="11" t="inlineStr">
        <is>
          <t>☐ À tester</t>
        </is>
      </c>
      <c r="H56" s="11" t="n"/>
      <c r="I56" s="10" t="n"/>
      <c r="J56" s="10" t="n"/>
      <c r="K56" s="10" t="n"/>
    </row>
    <row r="57">
      <c r="A57" s="12" t="inlineStr">
        <is>
          <t>Assistant IA</t>
        </is>
      </c>
      <c r="B57" s="12" t="inlineStr">
        <is>
          <t>IA-06</t>
        </is>
      </c>
      <c r="C57" s="12" t="inlineStr">
        <is>
          <t>Citation article cliquable</t>
        </is>
      </c>
      <c r="D57" s="12" t="inlineStr">
        <is>
          <t>Poser une question → cliquer sur l'article cité</t>
        </is>
      </c>
      <c r="E57" s="12" t="inlineStr">
        <is>
          <t>L'article s'ouvre dans le module Code</t>
        </is>
      </c>
      <c r="F57" s="18" t="inlineStr">
        <is>
          <t>CRITIQUE</t>
        </is>
      </c>
      <c r="G57" s="13" t="inlineStr">
        <is>
          <t>☐ À tester</t>
        </is>
      </c>
      <c r="H57" s="13" t="n"/>
      <c r="I57" s="12" t="n"/>
      <c r="J57" s="12" t="n"/>
      <c r="K57" s="12" t="n"/>
    </row>
    <row r="58">
      <c r="A58" s="10" t="inlineStr">
        <is>
          <t>Assistant IA</t>
        </is>
      </c>
      <c r="B58" s="10" t="inlineStr">
        <is>
          <t>IA-07</t>
        </is>
      </c>
      <c r="C58" s="10" t="inlineStr">
        <is>
          <t>Streaming temps réel</t>
        </is>
      </c>
      <c r="D58" s="10" t="inlineStr">
        <is>
          <t>Poser une question et observer l'affichage</t>
        </is>
      </c>
      <c r="E58" s="10" t="inlineStr">
        <is>
          <t>Réponse apparaît mot par mot</t>
        </is>
      </c>
      <c r="F58" s="19" t="inlineStr">
        <is>
          <t>HAUTE</t>
        </is>
      </c>
      <c r="G58" s="11" t="inlineStr">
        <is>
          <t>☐ À tester</t>
        </is>
      </c>
      <c r="H58" s="11" t="n"/>
      <c r="I58" s="10" t="n"/>
      <c r="J58" s="10" t="n"/>
      <c r="K58" s="10" t="n"/>
    </row>
    <row r="59">
      <c r="A59" s="12" t="inlineStr">
        <is>
          <t>Assistant IA</t>
        </is>
      </c>
      <c r="B59" s="12" t="inlineStr">
        <is>
          <t>IA-08</t>
        </is>
      </c>
      <c r="C59" s="12" t="inlineStr">
        <is>
          <t>Compteur de questions (quota)</t>
        </is>
      </c>
      <c r="D59" s="12" t="inlineStr">
        <is>
          <t>Vérifier le quota restant</t>
        </is>
      </c>
      <c r="E59" s="12" t="inlineStr">
        <is>
          <t>Compteur affiché (ex: 14/15 questions restantes)</t>
        </is>
      </c>
      <c r="F59" s="19" t="inlineStr">
        <is>
          <t>HAUTE</t>
        </is>
      </c>
      <c r="G59" s="13" t="inlineStr">
        <is>
          <t>☐ À tester</t>
        </is>
      </c>
      <c r="H59" s="13" t="n"/>
      <c r="I59" s="12" t="n"/>
      <c r="J59" s="12" t="n"/>
      <c r="K59" s="12" t="n"/>
    </row>
    <row r="60">
      <c r="A60" s="10" t="inlineStr">
        <is>
          <t>Assistant IA</t>
        </is>
      </c>
      <c r="B60" s="10" t="inlineStr">
        <is>
          <t>IA-09</t>
        </is>
      </c>
      <c r="C60" s="10" t="inlineStr">
        <is>
          <t>Quota épuisé - message upgrade</t>
        </is>
      </c>
      <c r="D60" s="10" t="inlineStr">
        <is>
          <t>Épuiser le quota → envoyer une question</t>
        </is>
      </c>
      <c r="E60" s="10" t="inlineStr">
        <is>
          <t>Message clair d'upgrade, pas de crash</t>
        </is>
      </c>
      <c r="F60" s="18" t="inlineStr">
        <is>
          <t>CRITIQUE</t>
        </is>
      </c>
      <c r="G60" s="11" t="inlineStr">
        <is>
          <t>☐ À tester</t>
        </is>
      </c>
      <c r="H60" s="11" t="n"/>
      <c r="I60" s="10" t="n"/>
      <c r="J60" s="10" t="n"/>
      <c r="K60" s="10" t="n"/>
    </row>
    <row r="61">
      <c r="A61" s="12" t="inlineStr">
        <is>
          <t>Assistant IA</t>
        </is>
      </c>
      <c r="B61" s="12" t="inlineStr">
        <is>
          <t>IA-10</t>
        </is>
      </c>
      <c r="C61" s="12" t="inlineStr">
        <is>
          <t>Historique conversations</t>
        </is>
      </c>
      <c r="D61" s="12" t="inlineStr">
        <is>
          <t>Poser 3 questions → vérifier l'historique</t>
        </is>
      </c>
      <c r="E61" s="12" t="inlineStr">
        <is>
          <t>3 conversations listées dans le panneau historique</t>
        </is>
      </c>
      <c r="F61" s="19" t="inlineStr">
        <is>
          <t>HAUTE</t>
        </is>
      </c>
      <c r="G61" s="13" t="inlineStr">
        <is>
          <t>☐ À tester</t>
        </is>
      </c>
      <c r="H61" s="13" t="n"/>
      <c r="I61" s="12" t="n"/>
      <c r="J61" s="12" t="n"/>
      <c r="K61" s="12" t="n"/>
    </row>
    <row r="62">
      <c r="A62" s="10" t="inlineStr">
        <is>
          <t>Assistant IA</t>
        </is>
      </c>
      <c r="B62" s="10" t="inlineStr">
        <is>
          <t>IA-11</t>
        </is>
      </c>
      <c r="C62" s="10" t="inlineStr">
        <is>
          <t>Nouvelle conversation</t>
        </is>
      </c>
      <c r="D62" s="10" t="inlineStr">
        <is>
          <t>Cliquer '+ Nouvelle conversation'</t>
        </is>
      </c>
      <c r="E62" s="10" t="inlineStr">
        <is>
          <t>Conversation vide, ancienne sauvegardée</t>
        </is>
      </c>
      <c r="F62" s="11" t="inlineStr">
        <is>
          <t>NORMALE</t>
        </is>
      </c>
      <c r="G62" s="11" t="inlineStr">
        <is>
          <t>☐ À tester</t>
        </is>
      </c>
      <c r="H62" s="11" t="n"/>
      <c r="I62" s="10" t="n"/>
      <c r="J62" s="10" t="n"/>
      <c r="K62" s="10" t="n"/>
    </row>
    <row r="63">
      <c r="A63" s="12" t="inlineStr">
        <is>
          <t>Assistant IA</t>
        </is>
      </c>
      <c r="B63" s="12" t="inlineStr">
        <is>
          <t>IA-12</t>
        </is>
      </c>
      <c r="C63" s="12" t="inlineStr">
        <is>
          <t>Supprimer conversation</t>
        </is>
      </c>
      <c r="D63" s="12" t="inlineStr">
        <is>
          <t>Cliquer supprimer sur une conversation</t>
        </is>
      </c>
      <c r="E63" s="12" t="inlineStr">
        <is>
          <t>Confirmation demandée, conversation supprimée</t>
        </is>
      </c>
      <c r="F63" s="13" t="inlineStr">
        <is>
          <t>NORMALE</t>
        </is>
      </c>
      <c r="G63" s="13" t="inlineStr">
        <is>
          <t>☐ À tester</t>
        </is>
      </c>
      <c r="H63" s="13" t="n"/>
      <c r="I63" s="12" t="n"/>
      <c r="J63" s="12" t="n"/>
      <c r="K63" s="12" t="n"/>
    </row>
    <row r="64">
      <c r="A64" s="10" t="inlineStr">
        <is>
          <t>Calendrier Fiscal</t>
        </is>
      </c>
      <c r="B64" s="10" t="inlineStr">
        <is>
          <t>CAL-01</t>
        </is>
      </c>
      <c r="C64" s="10" t="inlineStr">
        <is>
          <t>Affichage calendrier mensuel</t>
        </is>
      </c>
      <c r="D64" s="10" t="inlineStr">
        <is>
          <t>Ouvrir le Calendrier Fiscal</t>
        </is>
      </c>
      <c r="E64" s="10" t="inlineStr">
        <is>
          <t>Grille mensuelle avec navigation mois</t>
        </is>
      </c>
      <c r="F64" s="19" t="inlineStr">
        <is>
          <t>HAUTE</t>
        </is>
      </c>
      <c r="G64" s="11" t="inlineStr">
        <is>
          <t>☐ À tester</t>
        </is>
      </c>
      <c r="H64" s="11" t="n"/>
      <c r="I64" s="10" t="n"/>
      <c r="J64" s="10" t="n"/>
      <c r="K64" s="10" t="n"/>
    </row>
    <row r="65">
      <c r="A65" s="12" t="inlineStr">
        <is>
          <t>Calendrier Fiscal</t>
        </is>
      </c>
      <c r="B65" s="12" t="inlineStr">
        <is>
          <t>CAL-02</t>
        </is>
      </c>
      <c r="C65" s="12" t="inlineStr">
        <is>
          <t>Marqueurs obligations fiscales</t>
        </is>
      </c>
      <c r="D65" s="12" t="inlineStr">
        <is>
          <t>Observer les jours avec obligations</t>
        </is>
      </c>
      <c r="E65" s="12" t="inlineStr">
        <is>
          <t>Jours marqués en couleur avec badge compteur</t>
        </is>
      </c>
      <c r="F65" s="19" t="inlineStr">
        <is>
          <t>HAUTE</t>
        </is>
      </c>
      <c r="G65" s="13" t="inlineStr">
        <is>
          <t>☐ À tester</t>
        </is>
      </c>
      <c r="H65" s="13" t="n"/>
      <c r="I65" s="12" t="n"/>
      <c r="J65" s="12" t="n"/>
      <c r="K65" s="12" t="n"/>
    </row>
    <row r="66">
      <c r="A66" s="10" t="inlineStr">
        <is>
          <t>Calendrier Fiscal</t>
        </is>
      </c>
      <c r="B66" s="10" t="inlineStr">
        <is>
          <t>CAL-03</t>
        </is>
      </c>
      <c r="C66" s="10" t="inlineStr">
        <is>
          <t>Détail d'un jour</t>
        </is>
      </c>
      <c r="D66" s="10" t="inlineStr">
        <is>
          <t>Cliquer sur un jour avec obligation</t>
        </is>
      </c>
      <c r="E66" s="10" t="inlineStr">
        <is>
          <t>Panel détail avec titre, description, type</t>
        </is>
      </c>
      <c r="F66" s="19" t="inlineStr">
        <is>
          <t>HAUTE</t>
        </is>
      </c>
      <c r="G66" s="11" t="inlineStr">
        <is>
          <t>☐ À tester</t>
        </is>
      </c>
      <c r="H66" s="11" t="n"/>
      <c r="I66" s="10" t="n"/>
      <c r="J66" s="10" t="n"/>
      <c r="K66" s="10" t="n"/>
    </row>
    <row r="67">
      <c r="A67" s="12" t="inlineStr">
        <is>
          <t>Calendrier Fiscal</t>
        </is>
      </c>
      <c r="B67" s="12" t="inlineStr">
        <is>
          <t>CAL-04</t>
        </is>
      </c>
      <c r="C67" s="12" t="inlineStr">
        <is>
          <t>Navigation mois précédent/suivant</t>
        </is>
      </c>
      <c r="D67" s="12" t="inlineStr">
        <is>
          <t>Cliquer ◀ et ▶</t>
        </is>
      </c>
      <c r="E67" s="12" t="inlineStr">
        <is>
          <t>Mois change correctement</t>
        </is>
      </c>
      <c r="F67" s="13" t="inlineStr">
        <is>
          <t>NORMALE</t>
        </is>
      </c>
      <c r="G67" s="13" t="inlineStr">
        <is>
          <t>☐ À tester</t>
        </is>
      </c>
      <c r="H67" s="13" t="n"/>
      <c r="I67" s="12" t="n"/>
      <c r="J67" s="12" t="n"/>
      <c r="K67" s="12" t="n"/>
    </row>
    <row r="68">
      <c r="A68" s="10" t="inlineStr">
        <is>
          <t>Profil &amp; Abonnement</t>
        </is>
      </c>
      <c r="B68" s="10" t="inlineStr">
        <is>
          <t>PROF-01</t>
        </is>
      </c>
      <c r="C68" s="10" t="inlineStr">
        <is>
          <t>Affichage profil</t>
        </is>
      </c>
      <c r="D68" s="10" t="inlineStr">
        <is>
          <t>Aller dans Menu Plus → Profil</t>
        </is>
      </c>
      <c r="E68" s="10" t="inlineStr">
        <is>
          <t>Nom, prénom, email, profession affichés</t>
        </is>
      </c>
      <c r="F68" s="19" t="inlineStr">
        <is>
          <t>HAUTE</t>
        </is>
      </c>
      <c r="G68" s="11" t="inlineStr">
        <is>
          <t>☐ À tester</t>
        </is>
      </c>
      <c r="H68" s="11" t="n"/>
      <c r="I68" s="10" t="n"/>
      <c r="J68" s="10" t="n"/>
      <c r="K68" s="10" t="n"/>
    </row>
    <row r="69">
      <c r="A69" s="12" t="inlineStr">
        <is>
          <t>Profil &amp; Abonnement</t>
        </is>
      </c>
      <c r="B69" s="12" t="inlineStr">
        <is>
          <t>PROF-02</t>
        </is>
      </c>
      <c r="C69" s="12" t="inlineStr">
        <is>
          <t>Modification profil</t>
        </is>
      </c>
      <c r="D69" s="12" t="inlineStr">
        <is>
          <t>Modifier le prénom → Sauvegarder</t>
        </is>
      </c>
      <c r="E69" s="12" t="inlineStr">
        <is>
          <t>Modification enregistrée, message succès</t>
        </is>
      </c>
      <c r="F69" s="19" t="inlineStr">
        <is>
          <t>HAUTE</t>
        </is>
      </c>
      <c r="G69" s="13" t="inlineStr">
        <is>
          <t>☐ À tester</t>
        </is>
      </c>
      <c r="H69" s="13" t="n"/>
      <c r="I69" s="12" t="n"/>
      <c r="J69" s="12" t="n"/>
      <c r="K69" s="12" t="n"/>
    </row>
    <row r="70">
      <c r="A70" s="10" t="inlineStr">
        <is>
          <t>Profil &amp; Abonnement</t>
        </is>
      </c>
      <c r="B70" s="10" t="inlineStr">
        <is>
          <t>PROF-03</t>
        </is>
      </c>
      <c r="C70" s="10" t="inlineStr">
        <is>
          <t>Affichage abonnement</t>
        </is>
      </c>
      <c r="D70" s="10" t="inlineStr">
        <is>
          <t>Aller dans Abonnement</t>
        </is>
      </c>
      <c r="E70" s="10" t="inlineStr">
        <is>
          <t>Plan actuel, quota, date renouvellement affichés</t>
        </is>
      </c>
      <c r="F70" s="19" t="inlineStr">
        <is>
          <t>HAUTE</t>
        </is>
      </c>
      <c r="G70" s="11" t="inlineStr">
        <is>
          <t>☐ À tester</t>
        </is>
      </c>
      <c r="H70" s="11" t="n"/>
      <c r="I70" s="10" t="n"/>
      <c r="J70" s="10" t="n"/>
      <c r="K70" s="10" t="n"/>
    </row>
    <row r="71">
      <c r="A71" s="12" t="inlineStr">
        <is>
          <t>Profil &amp; Abonnement</t>
        </is>
      </c>
      <c r="B71" s="12" t="inlineStr">
        <is>
          <t>PROF-04</t>
        </is>
      </c>
      <c r="C71" s="12" t="inlineStr">
        <is>
          <t>Barre de quota questions</t>
        </is>
      </c>
      <c r="D71" s="12" t="inlineStr">
        <is>
          <t>Vérifier la barre de progression quota</t>
        </is>
      </c>
      <c r="E71" s="12" t="inlineStr">
        <is>
          <t>X/Y questions utilisées, barre proportionnelle</t>
        </is>
      </c>
      <c r="F71" s="13" t="inlineStr">
        <is>
          <t>NORMALE</t>
        </is>
      </c>
      <c r="G71" s="13" t="inlineStr">
        <is>
          <t>☐ À tester</t>
        </is>
      </c>
      <c r="H71" s="13" t="n"/>
      <c r="I71" s="12" t="n"/>
      <c r="J71" s="12" t="n"/>
      <c r="K71" s="12" t="n"/>
    </row>
    <row r="72">
      <c r="A72" s="10" t="inlineStr">
        <is>
          <t>Profil &amp; Abonnement</t>
        </is>
      </c>
      <c r="B72" s="10" t="inlineStr">
        <is>
          <t>PROF-05</t>
        </is>
      </c>
      <c r="C72" s="10" t="inlineStr">
        <is>
          <t>Dark mode toggle</t>
        </is>
      </c>
      <c r="D72" s="10" t="inlineStr">
        <is>
          <t>Paramètres → Activer dark mode</t>
        </is>
      </c>
      <c r="E72" s="10" t="inlineStr">
        <is>
          <t>Thème bascule en bleu marine, texte crème</t>
        </is>
      </c>
      <c r="F72" s="11" t="inlineStr">
        <is>
          <t>NORMALE</t>
        </is>
      </c>
      <c r="G72" s="11" t="inlineStr">
        <is>
          <t>☐ À tester</t>
        </is>
      </c>
      <c r="H72" s="11" t="n"/>
      <c r="I72" s="10" t="n"/>
      <c r="J72" s="10" t="n"/>
      <c r="K72" s="10" t="n"/>
    </row>
    <row r="73">
      <c r="A73" s="12" t="inlineStr">
        <is>
          <t>Profil &amp; Abonnement</t>
        </is>
      </c>
      <c r="B73" s="12" t="inlineStr">
        <is>
          <t>PROF-06</t>
        </is>
      </c>
      <c r="C73" s="12" t="inlineStr">
        <is>
          <t>Changement langue FR/EN</t>
        </is>
      </c>
      <c r="D73" s="12" t="inlineStr">
        <is>
          <t>Paramètres → Langue → English</t>
        </is>
      </c>
      <c r="E73" s="12" t="inlineStr">
        <is>
          <t>Interface passe en anglais</t>
        </is>
      </c>
      <c r="F73" s="13" t="inlineStr">
        <is>
          <t>NORMALE</t>
        </is>
      </c>
      <c r="G73" s="13" t="inlineStr">
        <is>
          <t>☐ À tester</t>
        </is>
      </c>
      <c r="H73" s="13" t="n"/>
      <c r="I73" s="12" t="n"/>
      <c r="J73" s="12" t="n"/>
      <c r="K73" s="12" t="n"/>
    </row>
    <row r="74">
      <c r="A74" s="10" t="inlineStr">
        <is>
          <t>Profil &amp; Abonnement</t>
        </is>
      </c>
      <c r="B74" s="10" t="inlineStr">
        <is>
          <t>PROF-07</t>
        </is>
      </c>
      <c r="C74" s="10" t="inlineStr">
        <is>
          <t>Pages légales accessibles</t>
        </is>
      </c>
      <c r="D74" s="10" t="inlineStr">
        <is>
          <t>CGU, Confidentialité, Mentions légales</t>
        </is>
      </c>
      <c r="E74" s="10" t="inlineStr">
        <is>
          <t>Chaque page s'affiche avec contenu complet</t>
        </is>
      </c>
      <c r="F74" s="11" t="inlineStr">
        <is>
          <t>NORMALE</t>
        </is>
      </c>
      <c r="G74" s="11" t="inlineStr">
        <is>
          <t>☐ À tester</t>
        </is>
      </c>
      <c r="H74" s="11" t="n"/>
      <c r="I74" s="10" t="n"/>
      <c r="J74" s="10" t="n"/>
      <c r="K74" s="10" t="n"/>
    </row>
    <row r="75">
      <c r="A75" s="12" t="inlineStr">
        <is>
          <t>FREE Trial</t>
        </is>
      </c>
      <c r="B75" s="12" t="inlineStr">
        <is>
          <t>FREE-01</t>
        </is>
      </c>
      <c r="C75" s="12" t="inlineStr">
        <is>
          <t>Accès lecture CGI gratuit</t>
        </is>
      </c>
      <c r="D75" s="12" t="inlineStr">
        <is>
          <t>Se connecter avec compte FREE → ouvrir un article</t>
        </is>
      </c>
      <c r="E75" s="12" t="inlineStr">
        <is>
          <t>Article lisible sans restriction</t>
        </is>
      </c>
      <c r="F75" s="18" t="inlineStr">
        <is>
          <t>CRITIQUE</t>
        </is>
      </c>
      <c r="G75" s="13" t="inlineStr">
        <is>
          <t>☐ À tester</t>
        </is>
      </c>
      <c r="H75" s="13" t="n"/>
      <c r="I75" s="12" t="n"/>
      <c r="J75" s="12" t="n"/>
      <c r="K75" s="12" t="n"/>
    </row>
    <row r="76">
      <c r="A76" s="10" t="inlineStr">
        <is>
          <t>FREE Trial</t>
        </is>
      </c>
      <c r="B76" s="10" t="inlineStr">
        <is>
          <t>FREE-02</t>
        </is>
      </c>
      <c r="C76" s="10" t="inlineStr">
        <is>
          <t>Limite 5 questions IA</t>
        </is>
      </c>
      <c r="D76" s="10" t="inlineStr">
        <is>
          <t>Poser 5 questions → tenter la 6ème</t>
        </is>
      </c>
      <c r="E76" s="10" t="inlineStr">
        <is>
          <t>6ème question bloquée avec message upgrade</t>
        </is>
      </c>
      <c r="F76" s="18" t="inlineStr">
        <is>
          <t>CRITIQUE</t>
        </is>
      </c>
      <c r="G76" s="11" t="inlineStr">
        <is>
          <t>☐ À tester</t>
        </is>
      </c>
      <c r="H76" s="11" t="n"/>
      <c r="I76" s="10" t="n"/>
      <c r="J76" s="10" t="n"/>
      <c r="K76" s="10" t="n"/>
    </row>
    <row r="77">
      <c r="A77" s="12" t="inlineStr">
        <is>
          <t>FREE Trial</t>
        </is>
      </c>
      <c r="B77" s="12" t="inlineStr">
        <is>
          <t>FREE-03</t>
        </is>
      </c>
      <c r="C77" s="12" t="inlineStr">
        <is>
          <t>Simulateurs verrouillés (après essai)</t>
        </is>
      </c>
      <c r="D77" s="12" t="inlineStr">
        <is>
          <t>Tenter d'ouvrir un simulateur après 7 jours</t>
        </is>
      </c>
      <c r="E77" s="12" t="inlineStr">
        <is>
          <t>Cadenas affiché, message upgrade</t>
        </is>
      </c>
      <c r="F77" s="19" t="inlineStr">
        <is>
          <t>HAUTE</t>
        </is>
      </c>
      <c r="G77" s="13" t="inlineStr">
        <is>
          <t>☐ À tester</t>
        </is>
      </c>
      <c r="H77" s="13" t="n"/>
      <c r="I77" s="12" t="n"/>
      <c r="J77" s="12" t="n"/>
      <c r="K77" s="12" t="n"/>
    </row>
    <row r="78">
      <c r="A78" s="10" t="inlineStr">
        <is>
          <t>FREE Trial</t>
        </is>
      </c>
      <c r="B78" s="10" t="inlineStr">
        <is>
          <t>FREE-04</t>
        </is>
      </c>
      <c r="C78" s="10" t="inlineStr">
        <is>
          <t>Paywall affiché si expiré</t>
        </is>
      </c>
      <c r="D78" s="10" t="inlineStr">
        <is>
          <t>Se connecter avec abonnement expiré</t>
        </is>
      </c>
      <c r="E78" s="10" t="inlineStr">
        <is>
          <t>Écran paywall avec plans et tarifs</t>
        </is>
      </c>
      <c r="F78" s="19" t="inlineStr">
        <is>
          <t>HAUTE</t>
        </is>
      </c>
      <c r="G78" s="11" t="inlineStr">
        <is>
          <t>☐ À tester</t>
        </is>
      </c>
      <c r="H78" s="11" t="n"/>
      <c r="I78" s="10" t="n"/>
      <c r="J78" s="10" t="n"/>
      <c r="K78" s="10" t="n"/>
    </row>
    <row r="79">
      <c r="A79" s="12" t="inlineStr">
        <is>
          <t>Performance</t>
        </is>
      </c>
      <c r="B79" s="12" t="inlineStr">
        <is>
          <t>PERF-01</t>
        </is>
      </c>
      <c r="C79" s="12" t="inlineStr">
        <is>
          <t>Temps de chargement initial</t>
        </is>
      </c>
      <c r="D79" s="12" t="inlineStr">
        <is>
          <t>Ouvrir l'app pour la première fois → mesurer</t>
        </is>
      </c>
      <c r="E79" s="12" t="inlineStr">
        <is>
          <t>Écran fonctionnel en moins de 3 secondes</t>
        </is>
      </c>
      <c r="F79" s="19" t="inlineStr">
        <is>
          <t>HAUTE</t>
        </is>
      </c>
      <c r="G79" s="13" t="inlineStr">
        <is>
          <t>☐ À tester</t>
        </is>
      </c>
      <c r="H79" s="13" t="n"/>
      <c r="I79" s="12" t="n"/>
      <c r="J79" s="12" t="n"/>
      <c r="K79" s="12" t="n"/>
    </row>
    <row r="80">
      <c r="A80" s="10" t="inlineStr">
        <is>
          <t>Performance</t>
        </is>
      </c>
      <c r="B80" s="10" t="inlineStr">
        <is>
          <t>PERF-02</t>
        </is>
      </c>
      <c r="C80" s="10" t="inlineStr">
        <is>
          <t>Temps de recherche</t>
        </is>
      </c>
      <c r="D80" s="10" t="inlineStr">
        <is>
          <t>Effectuer une recherche → mesurer</t>
        </is>
      </c>
      <c r="E80" s="10" t="inlineStr">
        <is>
          <t>Résultats en moins de 500ms</t>
        </is>
      </c>
      <c r="F80" s="19" t="inlineStr">
        <is>
          <t>HAUTE</t>
        </is>
      </c>
      <c r="G80" s="11" t="inlineStr">
        <is>
          <t>☐ À tester</t>
        </is>
      </c>
      <c r="H80" s="11" t="n"/>
      <c r="I80" s="10" t="n"/>
      <c r="J80" s="10" t="n"/>
      <c r="K80" s="10" t="n"/>
    </row>
    <row r="81">
      <c r="A81" s="12" t="inlineStr">
        <is>
          <t>Performance</t>
        </is>
      </c>
      <c r="B81" s="12" t="inlineStr">
        <is>
          <t>PERF-03</t>
        </is>
      </c>
      <c r="C81" s="12" t="inlineStr">
        <is>
          <t>Temps réponse IA</t>
        </is>
      </c>
      <c r="D81" s="12" t="inlineStr">
        <is>
          <t>Poser une question → mesurer le premier mot</t>
        </is>
      </c>
      <c r="E81" s="12" t="inlineStr">
        <is>
          <t>Premier mot en moins de 3 secondes</t>
        </is>
      </c>
      <c r="F81" s="19" t="inlineStr">
        <is>
          <t>HAUTE</t>
        </is>
      </c>
      <c r="G81" s="13" t="inlineStr">
        <is>
          <t>☐ À tester</t>
        </is>
      </c>
      <c r="H81" s="13" t="n"/>
      <c r="I81" s="12" t="n"/>
      <c r="J81" s="12" t="n"/>
      <c r="K81" s="12" t="n"/>
    </row>
    <row r="82">
      <c r="A82" s="10" t="inlineStr">
        <is>
          <t>Performance</t>
        </is>
      </c>
      <c r="B82" s="10" t="inlineStr">
        <is>
          <t>PERF-04</t>
        </is>
      </c>
      <c r="C82" s="10" t="inlineStr">
        <is>
          <t>Pas de crash après 10 min d'usage</t>
        </is>
      </c>
      <c r="D82" s="10" t="inlineStr">
        <is>
          <t>Utiliser l'app pendant 10 minutes</t>
        </is>
      </c>
      <c r="E82" s="10" t="inlineStr">
        <is>
          <t>Aucun crash, aucun freeze</t>
        </is>
      </c>
      <c r="F82" s="18" t="inlineStr">
        <is>
          <t>CRITIQUE</t>
        </is>
      </c>
      <c r="G82" s="11" t="inlineStr">
        <is>
          <t>☐ À tester</t>
        </is>
      </c>
      <c r="H82" s="11" t="n"/>
      <c r="I82" s="10" t="n"/>
      <c r="J82" s="10" t="n"/>
      <c r="K82" s="10" t="n"/>
    </row>
    <row r="83">
      <c r="A83" s="12" t="inlineStr">
        <is>
          <t>Performance</t>
        </is>
      </c>
      <c r="B83" s="12" t="inlineStr">
        <is>
          <t>PERF-05</t>
        </is>
      </c>
      <c r="C83" s="12" t="inlineStr">
        <is>
          <t>Mémoire stable</t>
        </is>
      </c>
      <c r="D83" s="12" t="inlineStr">
        <is>
          <t>Naviguer entre les modules pendant 5 min</t>
        </is>
      </c>
      <c r="E83" s="12" t="inlineStr">
        <is>
          <t>Pas de fuite mémoire visible</t>
        </is>
      </c>
      <c r="F83" s="13" t="inlineStr">
        <is>
          <t>NORMALE</t>
        </is>
      </c>
      <c r="G83" s="13" t="inlineStr">
        <is>
          <t>☐ À tester</t>
        </is>
      </c>
      <c r="H83" s="13" t="n"/>
      <c r="I83" s="12" t="n"/>
      <c r="J83" s="12" t="n"/>
      <c r="K83" s="12" t="n"/>
    </row>
    <row r="84">
      <c r="A84" s="10" t="inlineStr">
        <is>
          <t>Performance</t>
        </is>
      </c>
      <c r="B84" s="10" t="inlineStr">
        <is>
          <t>PERF-06</t>
        </is>
      </c>
      <c r="C84" s="10" t="inlineStr">
        <is>
          <t>Réseau lent (3G)</t>
        </is>
      </c>
      <c r="D84" s="10" t="inlineStr">
        <is>
          <t>Simuler réseau lent → utiliser l'app</t>
        </is>
      </c>
      <c r="E84" s="10" t="inlineStr">
        <is>
          <t>App utilisable, messages de chargement clairs</t>
        </is>
      </c>
      <c r="F84" s="11" t="inlineStr">
        <is>
          <t>NORMALE</t>
        </is>
      </c>
      <c r="G84" s="11" t="inlineStr">
        <is>
          <t>☐ À tester</t>
        </is>
      </c>
      <c r="H84" s="11" t="n"/>
      <c r="I84" s="10" t="n"/>
      <c r="J84" s="10" t="n"/>
      <c r="K84" s="10" t="n"/>
    </row>
    <row r="85">
      <c r="A85" s="12" t="inlineStr">
        <is>
          <t>Performance</t>
        </is>
      </c>
      <c r="B85" s="12" t="inlineStr">
        <is>
          <t>PERF-SOC-01</t>
        </is>
      </c>
      <c r="C85" s="12" t="inlineStr">
        <is>
          <t>Temps chargement sommaire social</t>
        </is>
      </c>
      <c r="D85" s="12" t="inlineStr">
        <is>
          <t>Ouvrir le Code Social → mesurer</t>
        </is>
      </c>
      <c r="E85" s="12" t="inlineStr">
        <is>
          <t>Sommaire affiché en moins de 3 secondes (63 fichiers)</t>
        </is>
      </c>
      <c r="F85" s="19" t="inlineStr">
        <is>
          <t>HAUTE</t>
        </is>
      </c>
      <c r="G85" s="13" t="inlineStr">
        <is>
          <t>☐ À tester</t>
        </is>
      </c>
      <c r="H85" s="13" t="n"/>
      <c r="I85" s="12" t="n"/>
      <c r="J85" s="12" t="n"/>
      <c r="K85" s="12" t="n"/>
    </row>
    <row r="86">
      <c r="A86" s="10" t="inlineStr">
        <is>
          <t>Performance</t>
        </is>
      </c>
      <c r="B86" s="10" t="inlineStr">
        <is>
          <t>PERF-SOC-02</t>
        </is>
      </c>
      <c r="C86" s="10" t="inlineStr">
        <is>
          <t>Recherche IA sociale temps de réponse</t>
        </is>
      </c>
      <c r="D86" s="10" t="inlineStr">
        <is>
          <t>Poser une question sociale → mesurer</t>
        </is>
      </c>
      <c r="E86" s="10" t="inlineStr">
        <is>
          <t>Début de streaming en moins de 5 secondes</t>
        </is>
      </c>
      <c r="F86" s="19" t="inlineStr">
        <is>
          <t>HAUTE</t>
        </is>
      </c>
      <c r="G86" s="11" t="inlineStr">
        <is>
          <t>☐ À tester</t>
        </is>
      </c>
      <c r="H86" s="11" t="n"/>
      <c r="I86" s="10" t="n"/>
      <c r="J86" s="10" t="n"/>
      <c r="K86" s="10" t="n"/>
    </row>
    <row r="87">
      <c r="A87" s="12" t="inlineStr">
        <is>
          <t>UX Mobile</t>
        </is>
      </c>
      <c r="B87" s="12" t="inlineStr">
        <is>
          <t>UX-01</t>
        </is>
      </c>
      <c r="C87" s="12" t="inlineStr">
        <is>
          <t>Affichage responsive mobile</t>
        </is>
      </c>
      <c r="D87" s="12" t="inlineStr">
        <is>
          <t>Ouvrir sur smartphone (375px)</t>
        </is>
      </c>
      <c r="E87" s="12" t="inlineStr">
        <is>
          <t>Interface adaptée, pas de scroll horizontal</t>
        </is>
      </c>
      <c r="F87" s="19" t="inlineStr">
        <is>
          <t>HAUTE</t>
        </is>
      </c>
      <c r="G87" s="13" t="inlineStr">
        <is>
          <t>☐ À tester</t>
        </is>
      </c>
      <c r="H87" s="13" t="n"/>
      <c r="I87" s="12" t="n"/>
      <c r="J87" s="12" t="n"/>
      <c r="K87" s="12" t="n"/>
    </row>
    <row r="88">
      <c r="A88" s="10" t="inlineStr">
        <is>
          <t>UX Mobile</t>
        </is>
      </c>
      <c r="B88" s="10" t="inlineStr">
        <is>
          <t>UX-02</t>
        </is>
      </c>
      <c r="C88" s="10" t="inlineStr">
        <is>
          <t>Tab bar navigation</t>
        </is>
      </c>
      <c r="D88" s="10" t="inlineStr">
        <is>
          <t>Tapper chaque onglet de la tab bar</t>
        </is>
      </c>
      <c r="E88" s="10" t="inlineStr">
        <is>
          <t>6 onglets fonctionnels (Home, Code, Sim, Cal, Chat, +)</t>
        </is>
      </c>
      <c r="F88" s="19" t="inlineStr">
        <is>
          <t>HAUTE</t>
        </is>
      </c>
      <c r="G88" s="11" t="inlineStr">
        <is>
          <t>☐ À tester</t>
        </is>
      </c>
      <c r="H88" s="11" t="n"/>
      <c r="I88" s="10" t="n"/>
      <c r="J88" s="10" t="n"/>
      <c r="K88" s="10" t="n"/>
    </row>
    <row r="89">
      <c r="A89" s="12" t="inlineStr">
        <is>
          <t>UX Mobile</t>
        </is>
      </c>
      <c r="B89" s="12" t="inlineStr">
        <is>
          <t>UX-03</t>
        </is>
      </c>
      <c r="C89" s="12" t="inlineStr">
        <is>
          <t>Taille des boutons tactiles</t>
        </is>
      </c>
      <c r="D89" s="12" t="inlineStr">
        <is>
          <t>Tapper les boutons sur mobile</t>
        </is>
      </c>
      <c r="E89" s="12" t="inlineStr">
        <is>
          <t>Tous les boutons facilement cliquables (&gt;44px)</t>
        </is>
      </c>
      <c r="F89" s="13" t="inlineStr">
        <is>
          <t>NORMALE</t>
        </is>
      </c>
      <c r="G89" s="13" t="inlineStr">
        <is>
          <t>☐ À tester</t>
        </is>
      </c>
      <c r="H89" s="13" t="n"/>
      <c r="I89" s="12" t="n"/>
      <c r="J89" s="12" t="n"/>
      <c r="K89" s="12" t="n"/>
    </row>
    <row r="90">
      <c r="A90" s="10" t="inlineStr">
        <is>
          <t>UX Mobile</t>
        </is>
      </c>
      <c r="B90" s="10" t="inlineStr">
        <is>
          <t>UX-04</t>
        </is>
      </c>
      <c r="C90" s="10" t="inlineStr">
        <is>
          <t>Clavier numérique simulateurs</t>
        </is>
      </c>
      <c r="D90" s="10" t="inlineStr">
        <is>
          <t>Tapper dans un champ montant sur mobile</t>
        </is>
      </c>
      <c r="E90" s="10" t="inlineStr">
        <is>
          <t>Clavier numérique s'ouvre (pas alphabétique)</t>
        </is>
      </c>
      <c r="F90" s="19" t="inlineStr">
        <is>
          <t>HAUTE</t>
        </is>
      </c>
      <c r="G90" s="11" t="inlineStr">
        <is>
          <t>☐ À tester</t>
        </is>
      </c>
      <c r="H90" s="11" t="n"/>
      <c r="I90" s="10" t="n"/>
      <c r="J90" s="10" t="n"/>
      <c r="K90" s="10" t="n"/>
    </row>
    <row r="91">
      <c r="A91" s="12" t="inlineStr">
        <is>
          <t>UX Mobile</t>
        </is>
      </c>
      <c r="B91" s="12" t="inlineStr">
        <is>
          <t>UX-05</t>
        </is>
      </c>
      <c r="C91" s="12" t="inlineStr">
        <is>
          <t>Rotation écran</t>
        </is>
      </c>
      <c r="D91" s="12" t="inlineStr">
        <is>
          <t>Tourner le téléphone en paysage</t>
        </is>
      </c>
      <c r="E91" s="12" t="inlineStr">
        <is>
          <t>Interface s'adapte sans bug</t>
        </is>
      </c>
      <c r="F91" s="13" t="inlineStr">
        <is>
          <t>NORMALE</t>
        </is>
      </c>
      <c r="G91" s="13" t="inlineStr">
        <is>
          <t>☐ À tester</t>
        </is>
      </c>
      <c r="H91" s="13" t="n"/>
      <c r="I91" s="12" t="n"/>
      <c r="J91" s="12" t="n"/>
      <c r="K91" s="12" t="n"/>
    </row>
    <row r="92">
      <c r="A92" s="10" t="inlineStr">
        <is>
          <t>UX Mobile</t>
        </is>
      </c>
      <c r="B92" s="10" t="inlineStr">
        <is>
          <t>UX-06</t>
        </is>
      </c>
      <c r="C92" s="10" t="inlineStr">
        <is>
          <t>Affichage tablet</t>
        </is>
      </c>
      <c r="D92" s="10" t="inlineStr">
        <is>
          <t>Ouvrir sur tablette (768px)</t>
        </is>
      </c>
      <c r="E92" s="10" t="inlineStr">
        <is>
          <t>Layout adapté, sidebar visible</t>
        </is>
      </c>
      <c r="F92" s="11" t="inlineStr">
        <is>
          <t>NORMALE</t>
        </is>
      </c>
      <c r="G92" s="11" t="inlineStr">
        <is>
          <t>☐ À tester</t>
        </is>
      </c>
      <c r="H92" s="11" t="n"/>
      <c r="I92" s="10" t="n"/>
      <c r="J92" s="10" t="n"/>
      <c r="K92" s="10" t="n"/>
    </row>
    <row r="93">
      <c r="A93" s="12" t="inlineStr">
        <is>
          <t>Navigation Social</t>
        </is>
      </c>
      <c r="B93" s="12" t="inlineStr">
        <is>
          <t>SOC-01</t>
        </is>
      </c>
      <c r="C93" s="12" t="inlineStr">
        <is>
          <t>Navigation Livre 1 → Code du travail → Article</t>
        </is>
      </c>
      <c r="D93" s="12" t="inlineStr">
        <is>
          <t>Sélecteur Code Social → Livre 1 → 1.1 Code du travail → Titre 1 → Art. 1</t>
        </is>
      </c>
      <c r="E93" s="12" t="inlineStr">
        <is>
          <t>Article 1 du Code du travail affiché avec contenu</t>
        </is>
      </c>
      <c r="F93" s="18" t="inlineStr">
        <is>
          <t>CRITIQUE</t>
        </is>
      </c>
      <c r="G93" s="13" t="inlineStr">
        <is>
          <t>☐ À tester</t>
        </is>
      </c>
      <c r="H93" s="13" t="n"/>
      <c r="I93" s="12" t="n"/>
      <c r="J93" s="12" t="n"/>
      <c r="K93" s="12" t="n"/>
    </row>
    <row r="94">
      <c r="A94" s="10" t="inlineStr">
        <is>
          <t>Navigation Social</t>
        </is>
      </c>
      <c r="B94" s="10" t="inlineStr">
        <is>
          <t>SOC-02</t>
        </is>
      </c>
      <c r="C94" s="10" t="inlineStr">
        <is>
          <t>Navigation Livre 2 → Sécurité sociale → Art. 145</t>
        </is>
      </c>
      <c r="D94" s="10" t="inlineStr">
        <is>
          <t>Livre 2 → 2.1 Code sécu → Pensions → Art. 145</t>
        </is>
      </c>
      <c r="E94" s="10" t="inlineStr">
        <is>
          <t>Art. 145 affiché (pension vieillesse 55 ans)</t>
        </is>
      </c>
      <c r="F94" s="18" t="inlineStr">
        <is>
          <t>CRITIQUE</t>
        </is>
      </c>
      <c r="G94" s="11" t="inlineStr">
        <is>
          <t>☐ À tester</t>
        </is>
      </c>
      <c r="H94" s="11" t="n"/>
      <c r="I94" s="10" t="n"/>
      <c r="J94" s="10" t="n"/>
      <c r="K94" s="10" t="n"/>
    </row>
    <row r="95">
      <c r="A95" s="12" t="inlineStr">
        <is>
          <t>Navigation Social</t>
        </is>
      </c>
      <c r="B95" s="12" t="inlineStr">
        <is>
          <t>SOC-03</t>
        </is>
      </c>
      <c r="C95" s="12" t="inlineStr">
        <is>
          <t>Navigation Livre 3 → Convention BTP</t>
        </is>
      </c>
      <c r="D95" s="12" t="inlineStr">
        <is>
          <t>Livre 3 → 3.1 Conventions → BTP → Articles</t>
        </is>
      </c>
      <c r="E95" s="12" t="inlineStr">
        <is>
          <t>Articles convention BTP affichés</t>
        </is>
      </c>
      <c r="F95" s="19" t="inlineStr">
        <is>
          <t>HAUTE</t>
        </is>
      </c>
      <c r="G95" s="13" t="inlineStr">
        <is>
          <t>☐ À tester</t>
        </is>
      </c>
      <c r="H95" s="13" t="n"/>
      <c r="I95" s="12" t="n"/>
      <c r="J95" s="12" t="n"/>
      <c r="K95" s="12" t="n"/>
    </row>
    <row r="96">
      <c r="A96" s="10" t="inlineStr">
        <is>
          <t>Navigation Social</t>
        </is>
      </c>
      <c r="B96" s="10" t="inlineStr">
        <is>
          <t>SOC-04</t>
        </is>
      </c>
      <c r="C96" s="10" t="inlineStr">
        <is>
          <t>Sélecteur de code : basculer CGI ↔ Social</t>
        </is>
      </c>
      <c r="D96" s="10" t="inlineStr">
        <is>
          <t>Cliquer sélecteur → Code Social → puis CGI</t>
        </is>
      </c>
      <c r="E96" s="10" t="inlineStr">
        <is>
          <t>Sommaire change correctement à chaque bascule</t>
        </is>
      </c>
      <c r="F96" s="18" t="inlineStr">
        <is>
          <t>CRITIQUE</t>
        </is>
      </c>
      <c r="G96" s="11" t="inlineStr">
        <is>
          <t>☐ À tester</t>
        </is>
      </c>
      <c r="H96" s="11" t="n"/>
      <c r="I96" s="10" t="n"/>
      <c r="J96" s="10" t="n"/>
      <c r="K96" s="10" t="n"/>
    </row>
    <row r="97">
      <c r="A97" s="12" t="inlineStr">
        <is>
          <t>Navigation Social</t>
        </is>
      </c>
      <c r="B97" s="12" t="inlineStr">
        <is>
          <t>SOC-05</t>
        </is>
      </c>
      <c r="C97" s="12" t="inlineStr">
        <is>
          <t>Vérifier structure 3 Livres</t>
        </is>
      </c>
      <c r="D97" s="12" t="inlineStr">
        <is>
          <t>Ouvrir Code Social → observer sommaire</t>
        </is>
      </c>
      <c r="E97" s="12" t="inlineStr">
        <is>
          <t>Livre 1 (Travail), Livre 2 (Sécu sociale), Livre 3 (Conventions)</t>
        </is>
      </c>
      <c r="F97" s="18" t="inlineStr">
        <is>
          <t>CRITIQUE</t>
        </is>
      </c>
      <c r="G97" s="13" t="inlineStr">
        <is>
          <t>☐ À tester</t>
        </is>
      </c>
      <c r="H97" s="13" t="n"/>
      <c r="I97" s="12" t="n"/>
      <c r="J97" s="12" t="n"/>
      <c r="K97" s="12" t="n"/>
    </row>
    <row r="98">
      <c r="A98" s="10" t="inlineStr">
        <is>
          <t>Navigation Social</t>
        </is>
      </c>
      <c r="B98" s="10" t="inlineStr">
        <is>
          <t>SOC-06</t>
        </is>
      </c>
      <c r="C98" s="10" t="inlineStr">
        <is>
          <t>Textes d'application</t>
        </is>
      </c>
      <c r="D98" s="10" t="inlineStr">
        <is>
          <t>Livre 1 → 1.2 → SMIG (Art. 83)</t>
        </is>
      </c>
      <c r="E98" s="10" t="inlineStr">
        <is>
          <t>Contenu arrêté SMIG affiché</t>
        </is>
      </c>
      <c r="F98" s="19" t="inlineStr">
        <is>
          <t>HAUTE</t>
        </is>
      </c>
      <c r="G98" s="11" t="inlineStr">
        <is>
          <t>☐ À tester</t>
        </is>
      </c>
      <c r="H98" s="11" t="n"/>
      <c r="I98" s="10" t="n"/>
      <c r="J98" s="10" t="n"/>
      <c r="K98" s="10" t="n"/>
    </row>
    <row r="99">
      <c r="A99" s="12" t="inlineStr">
        <is>
          <t>Navigation Social</t>
        </is>
      </c>
      <c r="B99" s="12" t="inlineStr">
        <is>
          <t>SOC-07</t>
        </is>
      </c>
      <c r="C99" s="12" t="inlineStr">
        <is>
          <t>Textes non codifiés</t>
        </is>
      </c>
      <c r="D99" s="12" t="inlineStr">
        <is>
          <t>Livre 1 → 1.3 → Jours fériés</t>
        </is>
      </c>
      <c r="E99" s="12" t="inlineStr">
        <is>
          <t>Liste jours fériés (1er janv, Pâques, 1er mai...)</t>
        </is>
      </c>
      <c r="F99" s="19" t="inlineStr">
        <is>
          <t>HAUTE</t>
        </is>
      </c>
      <c r="G99" s="13" t="inlineStr">
        <is>
          <t>☐ À tester</t>
        </is>
      </c>
      <c r="H99" s="13" t="n"/>
      <c r="I99" s="12" t="n"/>
      <c r="J99" s="12" t="n"/>
      <c r="K99" s="12" t="n"/>
    </row>
    <row r="100">
      <c r="A100" s="10" t="inlineStr">
        <is>
          <t>Navigation Social</t>
        </is>
      </c>
      <c r="B100" s="10" t="inlineStr">
        <is>
          <t>SOC-08</t>
        </is>
      </c>
      <c r="C100" s="10" t="inlineStr">
        <is>
          <t>63 fichiers chargés sans erreur</t>
        </is>
      </c>
      <c r="D100" s="10" t="inlineStr">
        <is>
          <t>Vérifier console, naviguer dans tous les Livres</t>
        </is>
      </c>
      <c r="E100" s="10" t="inlineStr">
        <is>
          <t>Aucune erreur, tous les nœuds cliquables</t>
        </is>
      </c>
      <c r="F100" s="19" t="inlineStr">
        <is>
          <t>HAUTE</t>
        </is>
      </c>
      <c r="G100" s="11" t="inlineStr">
        <is>
          <t>☐ À tester</t>
        </is>
      </c>
      <c r="H100" s="11" t="n"/>
      <c r="I100" s="10" t="n"/>
      <c r="J100" s="10" t="n"/>
      <c r="K100" s="10" t="n"/>
    </row>
    <row r="101">
      <c r="A101" s="12" t="inlineStr">
        <is>
          <t>Recherche Social</t>
        </is>
      </c>
      <c r="B101" s="12" t="inlineStr">
        <is>
          <t>RECH-SOC-01</t>
        </is>
      </c>
      <c r="C101" s="12" t="inlineStr">
        <is>
          <t>Rechercher 'licenciement'</t>
        </is>
      </c>
      <c r="D101" s="12" t="inlineStr">
        <is>
          <t>Code Social → taper 'licenciement'</t>
        </is>
      </c>
      <c r="E101" s="12" t="inlineStr">
        <is>
          <t>Articles Code du travail sur le licenciement</t>
        </is>
      </c>
      <c r="F101" s="19" t="inlineStr">
        <is>
          <t>HAUTE</t>
        </is>
      </c>
      <c r="G101" s="13" t="inlineStr">
        <is>
          <t>☐ À tester</t>
        </is>
      </c>
      <c r="H101" s="13" t="n"/>
      <c r="I101" s="12" t="n"/>
      <c r="J101" s="12" t="n"/>
      <c r="K101" s="12" t="n"/>
    </row>
    <row r="102">
      <c r="A102" s="10" t="inlineStr">
        <is>
          <t>Recherche Social</t>
        </is>
      </c>
      <c r="B102" s="10" t="inlineStr">
        <is>
          <t>RECH-SOC-02</t>
        </is>
      </c>
      <c r="C102" s="10" t="inlineStr">
        <is>
          <t>Rechercher 'cotisation CNSS'</t>
        </is>
      </c>
      <c r="D102" s="10" t="inlineStr">
        <is>
          <t>Taper 'cotisation CNSS'</t>
        </is>
      </c>
      <c r="E102" s="10" t="inlineStr">
        <is>
          <t>Articles sécu sociale sur les cotisations</t>
        </is>
      </c>
      <c r="F102" s="19" t="inlineStr">
        <is>
          <t>HAUTE</t>
        </is>
      </c>
      <c r="G102" s="11" t="inlineStr">
        <is>
          <t>☐ À tester</t>
        </is>
      </c>
      <c r="H102" s="11" t="n"/>
      <c r="I102" s="10" t="n"/>
      <c r="J102" s="10" t="n"/>
      <c r="K102" s="10" t="n"/>
    </row>
    <row r="103">
      <c r="A103" s="12" t="inlineStr">
        <is>
          <t>Recherche Social</t>
        </is>
      </c>
      <c r="B103" s="12" t="inlineStr">
        <is>
          <t>RECH-SOC-03</t>
        </is>
      </c>
      <c r="C103" s="12" t="inlineStr">
        <is>
          <t>Rechercher 'convention BTP'</t>
        </is>
      </c>
      <c r="D103" s="12" t="inlineStr">
        <is>
          <t>Taper 'convention collective BTP'</t>
        </is>
      </c>
      <c r="E103" s="12" t="inlineStr">
        <is>
          <t>Convention BTP dans les résultats</t>
        </is>
      </c>
      <c r="F103" s="19" t="inlineStr">
        <is>
          <t>HAUTE</t>
        </is>
      </c>
      <c r="G103" s="13" t="inlineStr">
        <is>
          <t>☐ À tester</t>
        </is>
      </c>
      <c r="H103" s="13" t="n"/>
      <c r="I103" s="12" t="n"/>
      <c r="J103" s="12" t="n"/>
      <c r="K103" s="12" t="n"/>
    </row>
    <row r="104">
      <c r="A104" s="10" t="inlineStr">
        <is>
          <t>Assistant IA Social</t>
        </is>
      </c>
      <c r="B104" s="10" t="inlineStr">
        <is>
          <t>IA-SOC-01</t>
        </is>
      </c>
      <c r="C104" s="10" t="inlineStr">
        <is>
          <t>Âge de retraite au Congo</t>
        </is>
      </c>
      <c r="D104" s="10" t="inlineStr">
        <is>
          <t>Taper: 'Quel est l'âge de retraite au Congo ?'</t>
        </is>
      </c>
      <c r="E104" s="10" t="inlineStr">
        <is>
          <t>Loi 48-2024 citée (60/63/65/70 ans par catégorie)</t>
        </is>
      </c>
      <c r="F104" s="18" t="inlineStr">
        <is>
          <t>CRITIQUE</t>
        </is>
      </c>
      <c r="G104" s="11" t="inlineStr">
        <is>
          <t>☐ À tester</t>
        </is>
      </c>
      <c r="H104" s="11" t="n"/>
      <c r="I104" s="10" t="n"/>
      <c r="J104" s="10" t="n"/>
      <c r="K104" s="10" t="n"/>
    </row>
    <row r="105">
      <c r="A105" s="12" t="inlineStr">
        <is>
          <t>Assistant IA Social</t>
        </is>
      </c>
      <c r="B105" s="12" t="inlineStr">
        <is>
          <t>IA-SOC-02</t>
        </is>
      </c>
      <c r="C105" s="12" t="inlineStr">
        <is>
          <t>Cotisations CNSS employeur</t>
        </is>
      </c>
      <c r="D105" s="12" t="inlineStr">
        <is>
          <t>Taper: 'Cotisations CNSS employeur ?'</t>
        </is>
      </c>
      <c r="E105" s="12" t="inlineStr">
        <is>
          <t>Taux détaillés (PF 10.03%, RP 2.25%, Pensions 8%...)</t>
        </is>
      </c>
      <c r="F105" s="18" t="inlineStr">
        <is>
          <t>CRITIQUE</t>
        </is>
      </c>
      <c r="G105" s="13" t="inlineStr">
        <is>
          <t>☐ À tester</t>
        </is>
      </c>
      <c r="H105" s="13" t="n"/>
      <c r="I105" s="12" t="n"/>
      <c r="J105" s="12" t="n"/>
      <c r="K105" s="12" t="n"/>
    </row>
    <row r="106">
      <c r="A106" s="10" t="inlineStr">
        <is>
          <t>Assistant IA Social</t>
        </is>
      </c>
      <c r="B106" s="10" t="inlineStr">
        <is>
          <t>IA-SOC-03</t>
        </is>
      </c>
      <c r="C106" s="10" t="inlineStr">
        <is>
          <t>Durée du préavis</t>
        </is>
      </c>
      <c r="D106" s="10" t="inlineStr">
        <is>
          <t>Taper: 'Durée du préavis licenciement ?'</t>
        </is>
      </c>
      <c r="E106" s="10" t="inlineStr">
        <is>
          <t>Code du travail cité avec conditions</t>
        </is>
      </c>
      <c r="F106" s="19" t="inlineStr">
        <is>
          <t>HAUTE</t>
        </is>
      </c>
      <c r="G106" s="11" t="inlineStr">
        <is>
          <t>☐ À tester</t>
        </is>
      </c>
      <c r="H106" s="11" t="n"/>
      <c r="I106" s="10" t="n"/>
      <c r="J106" s="10" t="n"/>
      <c r="K106" s="10" t="n"/>
    </row>
    <row r="107">
      <c r="A107" s="12" t="inlineStr">
        <is>
          <t>Assistant IA Social</t>
        </is>
      </c>
      <c r="B107" s="12" t="inlineStr">
        <is>
          <t>IA-SOC-04</t>
        </is>
      </c>
      <c r="C107" s="12" t="inlineStr">
        <is>
          <t>Jours fériés Congo</t>
        </is>
      </c>
      <c r="D107" s="12" t="inlineStr">
        <is>
          <t>Taper: 'Jours fériés au Congo ?'</t>
        </is>
      </c>
      <c r="E107" s="12" t="inlineStr">
        <is>
          <t>Liste complète + Loi 1994-02 citée</t>
        </is>
      </c>
      <c r="F107" s="19" t="inlineStr">
        <is>
          <t>HAUTE</t>
        </is>
      </c>
      <c r="G107" s="13" t="inlineStr">
        <is>
          <t>☐ À tester</t>
        </is>
      </c>
      <c r="H107" s="13" t="n"/>
      <c r="I107" s="12" t="n"/>
      <c r="J107" s="12" t="n"/>
      <c r="K107" s="12" t="n"/>
    </row>
    <row r="108">
      <c r="A108" s="10" t="inlineStr">
        <is>
          <t>Assistant IA Social</t>
        </is>
      </c>
      <c r="B108" s="10" t="inlineStr">
        <is>
          <t>IA-SOC-05</t>
        </is>
      </c>
      <c r="C108" s="10" t="inlineStr">
        <is>
          <t>Calcul pension vieillesse</t>
        </is>
      </c>
      <c r="D108" s="10" t="inlineStr">
        <is>
          <t>Taper: 'Comment calculer la pension de vieillesse ?'</t>
        </is>
      </c>
      <c r="E108" s="10" t="inlineStr">
        <is>
          <t>Art. 150 CSS cité (40% + 2% par an au-delà 240 mois)</t>
        </is>
      </c>
      <c r="F108" s="19" t="inlineStr">
        <is>
          <t>HAUTE</t>
        </is>
      </c>
      <c r="G108" s="11" t="inlineStr">
        <is>
          <t>☐ À tester</t>
        </is>
      </c>
      <c r="H108" s="11" t="n"/>
      <c r="I108" s="10" t="n"/>
      <c r="J108" s="10" t="n"/>
      <c r="K108" s="10" t="n"/>
    </row>
    <row r="109">
      <c r="A109" s="12" t="inlineStr">
        <is>
          <t>Assistant IA Social</t>
        </is>
      </c>
      <c r="B109" s="12" t="inlineStr">
        <is>
          <t>IA-SOC-06</t>
        </is>
      </c>
      <c r="C109" s="12" t="inlineStr">
        <is>
          <t>Accident du travail</t>
        </is>
      </c>
      <c r="D109" s="12" t="inlineStr">
        <is>
          <t>Taper: 'Que faire en cas d'accident du travail ?'</t>
        </is>
      </c>
      <c r="E109" s="12" t="inlineStr">
        <is>
          <t>Procédure 48h + prestations + références articles</t>
        </is>
      </c>
      <c r="F109" s="19" t="inlineStr">
        <is>
          <t>HAUTE</t>
        </is>
      </c>
      <c r="G109" s="13" t="inlineStr">
        <is>
          <t>☐ À tester</t>
        </is>
      </c>
      <c r="H109" s="13" t="n"/>
      <c r="I109" s="12" t="n"/>
      <c r="J109" s="12" t="n"/>
      <c r="K109" s="12" t="n"/>
    </row>
    <row r="110">
      <c r="A110" s="10" t="inlineStr">
        <is>
          <t>Assistant IA Social</t>
        </is>
      </c>
      <c r="B110" s="10" t="inlineStr">
        <is>
          <t>IA-SOC-07</t>
        </is>
      </c>
      <c r="C110" s="10" t="inlineStr">
        <is>
          <t>Routing auto CGI ↔ Social</t>
        </is>
      </c>
      <c r="D110" s="10" t="inlineStr">
        <is>
          <t>Question fiscale (TVA) puis sociale (licenciement)</t>
        </is>
      </c>
      <c r="E110" s="10" t="inlineStr">
        <is>
          <t>L'IA route automatiquement vers le bon contexte</t>
        </is>
      </c>
      <c r="F110" s="18" t="inlineStr">
        <is>
          <t>CRITIQUE</t>
        </is>
      </c>
      <c r="G110" s="11" t="inlineStr">
        <is>
          <t>☐ À tester</t>
        </is>
      </c>
      <c r="H110" s="11" t="n"/>
      <c r="I110" s="10" t="n"/>
      <c r="J110" s="10" t="n"/>
      <c r="K110" s="10" t="n"/>
    </row>
    <row r="111">
      <c r="A111" s="12" t="inlineStr">
        <is>
          <t>Audit Facture</t>
        </is>
      </c>
      <c r="B111" s="12" t="inlineStr">
        <is>
          <t>AUDIT-01</t>
        </is>
      </c>
      <c r="C111" s="12" t="inlineStr">
        <is>
          <t>Upload facture PDF</t>
        </is>
      </c>
      <c r="D111" s="12" t="inlineStr">
        <is>
          <t>Audit Facture → Sélectionner Facture → Uploader PDF</t>
        </is>
      </c>
      <c r="E111" s="12" t="inlineStr">
        <is>
          <t>Fichier accepté, bouton Analyser activé</t>
        </is>
      </c>
      <c r="F111" s="18" t="inlineStr">
        <is>
          <t>CRITIQUE</t>
        </is>
      </c>
      <c r="G111" s="13" t="inlineStr">
        <is>
          <t>☐ À tester</t>
        </is>
      </c>
      <c r="H111" s="13" t="n"/>
      <c r="I111" s="12" t="n"/>
      <c r="J111" s="12" t="n"/>
      <c r="K111" s="12" t="n"/>
    </row>
    <row r="112">
      <c r="A112" s="10" t="inlineStr">
        <is>
          <t>Audit Facture</t>
        </is>
      </c>
      <c r="B112" s="10" t="inlineStr">
        <is>
          <t>AUDIT-02</t>
        </is>
      </c>
      <c r="C112" s="10" t="inlineStr">
        <is>
          <t>Analyse de conformité</t>
        </is>
      </c>
      <c r="D112" s="10" t="inlineStr">
        <is>
          <t>Uploader facture → cliquer Analyser</t>
        </is>
      </c>
      <c r="E112" s="10" t="inlineStr">
        <is>
          <t>Score conformité + mentions obligatoires vérifiées</t>
        </is>
      </c>
      <c r="F112" s="18" t="inlineStr">
        <is>
          <t>CRITIQUE</t>
        </is>
      </c>
      <c r="G112" s="11" t="inlineStr">
        <is>
          <t>☐ À tester</t>
        </is>
      </c>
      <c r="H112" s="11" t="n"/>
      <c r="I112" s="10" t="n"/>
      <c r="J112" s="10" t="n"/>
      <c r="K112" s="10" t="n"/>
    </row>
    <row r="113">
      <c r="A113" s="12" t="inlineStr">
        <is>
          <t>Audit Facture</t>
        </is>
      </c>
      <c r="B113" s="12" t="inlineStr">
        <is>
          <t>AUDIT-03</t>
        </is>
      </c>
      <c r="C113" s="12" t="inlineStr">
        <is>
          <t>Résultats détaillés</t>
        </is>
      </c>
      <c r="D113" s="12" t="inlineStr">
        <is>
          <t>Après analyse → vérifier résultats</t>
        </is>
      </c>
      <c r="E113" s="12" t="inlineStr">
        <is>
          <t>Score, langue, TVA, mentions Art. 32, risques, recommandations</t>
        </is>
      </c>
      <c r="F113" s="19" t="inlineStr">
        <is>
          <t>HAUTE</t>
        </is>
      </c>
      <c r="G113" s="13" t="inlineStr">
        <is>
          <t>☐ À tester</t>
        </is>
      </c>
      <c r="H113" s="13" t="n"/>
      <c r="I113" s="12" t="n"/>
      <c r="J113" s="12" t="n"/>
      <c r="K113" s="12" t="n"/>
    </row>
    <row r="114">
      <c r="A114" s="10" t="inlineStr">
        <is>
          <t>Audit Facture</t>
        </is>
      </c>
      <c r="B114" s="10" t="inlineStr">
        <is>
          <t>AUDIT-04</t>
        </is>
      </c>
      <c r="C114" s="10" t="inlineStr">
        <is>
          <t>Historique des audits</t>
        </is>
      </c>
      <c r="D114" s="10" t="inlineStr">
        <is>
          <t>Effectuer 2 audits → vérifier historique</t>
        </is>
      </c>
      <c r="E114" s="10" t="inlineStr">
        <is>
          <t>Les 2 audits avec date, type et score</t>
        </is>
      </c>
      <c r="F114" s="19" t="inlineStr">
        <is>
          <t>HAUTE</t>
        </is>
      </c>
      <c r="G114" s="11" t="inlineStr">
        <is>
          <t>☐ À tester</t>
        </is>
      </c>
      <c r="H114" s="11" t="n"/>
      <c r="I114" s="10" t="n"/>
      <c r="J114" s="10" t="n"/>
      <c r="K114" s="10" t="n"/>
    </row>
    <row r="115">
      <c r="A115" s="12" t="inlineStr">
        <is>
          <t>Audit Facture</t>
        </is>
      </c>
      <c r="B115" s="12" t="inlineStr">
        <is>
          <t>AUDIT-05</t>
        </is>
      </c>
      <c r="C115" s="12" t="inlineStr">
        <is>
          <t>Fichier trop lourd (&gt;10MB)</t>
        </is>
      </c>
      <c r="D115" s="12" t="inlineStr">
        <is>
          <t>Uploader un fichier &gt;10MB</t>
        </is>
      </c>
      <c r="E115" s="12" t="inlineStr">
        <is>
          <t>Message d'erreur clair, pas de crash</t>
        </is>
      </c>
      <c r="F115" s="13" t="inlineStr">
        <is>
          <t>NORMALE</t>
        </is>
      </c>
      <c r="G115" s="13" t="inlineStr">
        <is>
          <t>☐ À tester</t>
        </is>
      </c>
      <c r="H115" s="13" t="n"/>
      <c r="I115" s="12" t="n"/>
      <c r="J115" s="12" t="n"/>
      <c r="K115" s="12" t="n"/>
    </row>
    <row r="116">
      <c r="A116" s="10" t="inlineStr">
        <is>
          <t>Organisation</t>
        </is>
      </c>
      <c r="B116" s="10" t="inlineStr">
        <is>
          <t>ORG-01</t>
        </is>
      </c>
      <c r="C116" s="10" t="inlineStr">
        <is>
          <t>Créer une organisation</t>
        </is>
      </c>
      <c r="D116" s="10" t="inlineStr">
        <is>
          <t>Menu Plus → Organisation → Créer → Nom</t>
        </is>
      </c>
      <c r="E116" s="10" t="inlineStr">
        <is>
          <t>Organisation créée, membre OWNER affiché</t>
        </is>
      </c>
      <c r="F116" s="19" t="inlineStr">
        <is>
          <t>HAUTE</t>
        </is>
      </c>
      <c r="G116" s="11" t="inlineStr">
        <is>
          <t>☐ À tester</t>
        </is>
      </c>
      <c r="H116" s="11" t="n"/>
      <c r="I116" s="10" t="n"/>
      <c r="J116" s="10" t="n"/>
      <c r="K116" s="10" t="n"/>
    </row>
    <row r="117">
      <c r="A117" s="12" t="inlineStr">
        <is>
          <t>Organisation</t>
        </is>
      </c>
      <c r="B117" s="12" t="inlineStr">
        <is>
          <t>ORG-02</t>
        </is>
      </c>
      <c r="C117" s="12" t="inlineStr">
        <is>
          <t>Inviter un membre</t>
        </is>
      </c>
      <c r="D117" s="12" t="inlineStr">
        <is>
          <t>Organisation → Inviter → Email + rôle MEMBER</t>
        </is>
      </c>
      <c r="E117" s="12" t="inlineStr">
        <is>
          <t>Invitation envoyée, en attente affichée</t>
        </is>
      </c>
      <c r="F117" s="19" t="inlineStr">
        <is>
          <t>HAUTE</t>
        </is>
      </c>
      <c r="G117" s="13" t="inlineStr">
        <is>
          <t>☐ À tester</t>
        </is>
      </c>
      <c r="H117" s="13" t="n"/>
      <c r="I117" s="12" t="n"/>
      <c r="J117" s="12" t="n"/>
      <c r="K117" s="12" t="n"/>
    </row>
    <row r="118">
      <c r="A118" s="10" t="inlineStr">
        <is>
          <t>Organisation</t>
        </is>
      </c>
      <c r="B118" s="10" t="inlineStr">
        <is>
          <t>ORG-03</t>
        </is>
      </c>
      <c r="C118" s="10" t="inlineStr">
        <is>
          <t>Changer rôle d'un membre</t>
        </is>
      </c>
      <c r="D118" s="10" t="inlineStr">
        <is>
          <t>Menu ⋮ → Changer rôle → ADMIN</t>
        </is>
      </c>
      <c r="E118" s="10" t="inlineStr">
        <is>
          <t>Rôle mis à jour</t>
        </is>
      </c>
      <c r="F118" s="11" t="inlineStr">
        <is>
          <t>NORMALE</t>
        </is>
      </c>
      <c r="G118" s="11" t="inlineStr">
        <is>
          <t>☐ À tester</t>
        </is>
      </c>
      <c r="H118" s="11" t="n"/>
      <c r="I118" s="10" t="n"/>
      <c r="J118" s="10" t="n"/>
      <c r="K118" s="10" t="n"/>
    </row>
    <row r="119">
      <c r="A119" s="12" t="inlineStr">
        <is>
          <t>Organisation</t>
        </is>
      </c>
      <c r="B119" s="12" t="inlineStr">
        <is>
          <t>ORG-04</t>
        </is>
      </c>
      <c r="C119" s="12" t="inlineStr">
        <is>
          <t>Supprimer un membre</t>
        </is>
      </c>
      <c r="D119" s="12" t="inlineStr">
        <is>
          <t>Menu ⋮ → Retirer → Confirmer</t>
        </is>
      </c>
      <c r="E119" s="12" t="inlineStr">
        <is>
          <t>Membre retiré de la liste</t>
        </is>
      </c>
      <c r="F119" s="13" t="inlineStr">
        <is>
          <t>NORMALE</t>
        </is>
      </c>
      <c r="G119" s="13" t="inlineStr">
        <is>
          <t>☐ À tester</t>
        </is>
      </c>
      <c r="H119" s="13" t="n"/>
      <c r="I119" s="12" t="n"/>
      <c r="J119" s="12" t="n"/>
      <c r="K119" s="12" t="n"/>
    </row>
    <row r="120">
      <c r="A120" s="10" t="inlineStr">
        <is>
          <t>Sécurité 2FA</t>
        </is>
      </c>
      <c r="B120" s="10" t="inlineStr">
        <is>
          <t>2FA-01</t>
        </is>
      </c>
      <c r="C120" s="10" t="inlineStr">
        <is>
          <t>Activer la 2FA</t>
        </is>
      </c>
      <c r="D120" s="10" t="inlineStr">
        <is>
          <t>Paramètres → Sécurité → Activer → Scanner QR</t>
        </is>
      </c>
      <c r="E120" s="10" t="inlineStr">
        <is>
          <t>QR code affiché, codes backup, 2FA activée</t>
        </is>
      </c>
      <c r="F120" s="19" t="inlineStr">
        <is>
          <t>HAUTE</t>
        </is>
      </c>
      <c r="G120" s="11" t="inlineStr">
        <is>
          <t>☐ À tester</t>
        </is>
      </c>
      <c r="H120" s="11" t="n"/>
      <c r="I120" s="10" t="n"/>
      <c r="J120" s="10" t="n"/>
      <c r="K120" s="10" t="n"/>
    </row>
    <row r="121">
      <c r="A121" s="12" t="inlineStr">
        <is>
          <t>Sécurité 2FA</t>
        </is>
      </c>
      <c r="B121" s="12" t="inlineStr">
        <is>
          <t>2FA-02</t>
        </is>
      </c>
      <c r="C121" s="12" t="inlineStr">
        <is>
          <t>Connexion avec 2FA</t>
        </is>
      </c>
      <c r="D121" s="12" t="inlineStr">
        <is>
          <t>Déconnexion → Reconnecter → Code 2FA</t>
        </is>
      </c>
      <c r="E121" s="12" t="inlineStr">
        <is>
          <t>Accès après code correct</t>
        </is>
      </c>
      <c r="F121" s="19" t="inlineStr">
        <is>
          <t>HAUTE</t>
        </is>
      </c>
      <c r="G121" s="13" t="inlineStr">
        <is>
          <t>☐ À tester</t>
        </is>
      </c>
      <c r="H121" s="13" t="n"/>
      <c r="I121" s="12" t="n"/>
      <c r="J121" s="12" t="n"/>
      <c r="K121" s="12" t="n"/>
    </row>
    <row r="122">
      <c r="A122" s="10" t="inlineStr">
        <is>
          <t>Sécurité 2FA</t>
        </is>
      </c>
      <c r="B122" s="10" t="inlineStr">
        <is>
          <t>2FA-03</t>
        </is>
      </c>
      <c r="C122" s="10" t="inlineStr">
        <is>
          <t>Code 2FA incorrect</t>
        </is>
      </c>
      <c r="D122" s="10" t="inlineStr">
        <is>
          <t>Saisir code erroné</t>
        </is>
      </c>
      <c r="E122" s="10" t="inlineStr">
        <is>
          <t>Message erreur, accès refusé</t>
        </is>
      </c>
      <c r="F122" s="19" t="inlineStr">
        <is>
          <t>HAUTE</t>
        </is>
      </c>
      <c r="G122" s="11" t="inlineStr">
        <is>
          <t>☐ À tester</t>
        </is>
      </c>
      <c r="H122" s="11" t="n"/>
      <c r="I122" s="10" t="n"/>
      <c r="J122" s="10" t="n"/>
      <c r="K122" s="10" t="n"/>
    </row>
    <row r="123">
      <c r="A123" t="inlineStr">
        <is>
          <t>Keycloak SSO</t>
        </is>
      </c>
      <c r="B123" t="inlineStr">
        <is>
          <t>KC-01</t>
        </is>
      </c>
      <c r="C123" t="inlineStr">
        <is>
          <t>OTP obligatoire au login</t>
        </is>
      </c>
      <c r="D123" t="inlineStr">
        <is>
          <t>Se connecter → Keycloak demande le code OTP</t>
        </is>
      </c>
      <c r="E123" t="inlineStr">
        <is>
          <t>Code OTP par email requis, login impossible sans</t>
        </is>
      </c>
      <c r="F123" t="inlineStr">
        <is>
          <t>CRITIQUE</t>
        </is>
      </c>
      <c r="G123" t="inlineStr">
        <is>
          <t>☐ À tester</t>
        </is>
      </c>
    </row>
    <row r="124">
      <c r="A124" t="inlineStr">
        <is>
          <t>Keycloak SSO</t>
        </is>
      </c>
      <c r="B124" t="inlineStr">
        <is>
          <t>KC-02</t>
        </is>
      </c>
      <c r="C124" t="inlineStr">
        <is>
          <t>SSO entre Tax et Legal</t>
        </is>
      </c>
      <c r="D124" t="inlineStr">
        <is>
          <t>Se connecter sur tax.normx-ai.com → ouvrir legal.normx-ai.com</t>
        </is>
      </c>
      <c r="E124" t="inlineStr">
        <is>
          <t>Déjà connecté sur Legal sans re-login (même session Keycloak)</t>
        </is>
      </c>
      <c r="F124" t="inlineStr">
        <is>
          <t>HAUTE</t>
        </is>
      </c>
      <c r="G124" t="inlineStr">
        <is>
          <t>☐ À tester</t>
        </is>
      </c>
    </row>
    <row r="125">
      <c r="A125" t="inlineStr">
        <is>
          <t>Keycloak SSO</t>
        </is>
      </c>
      <c r="B125" t="inlineStr">
        <is>
          <t>KC-03</t>
        </is>
      </c>
      <c r="C125" t="inlineStr">
        <is>
          <t>Refresh token automatique</t>
        </is>
      </c>
      <c r="D125" t="inlineStr">
        <is>
          <t>Rester connecté &gt; 5 min sans activité</t>
        </is>
      </c>
      <c r="E125" t="inlineStr">
        <is>
          <t>Token rafraîchi automatiquement, pas de déconnexion</t>
        </is>
      </c>
      <c r="F125" t="inlineStr">
        <is>
          <t>HAUTE</t>
        </is>
      </c>
      <c r="G125" t="inlineStr">
        <is>
          <t>☐ À tester</t>
        </is>
      </c>
    </row>
    <row r="126">
      <c r="A126" t="inlineStr">
        <is>
          <t>Keycloak SSO</t>
        </is>
      </c>
      <c r="B126" t="inlineStr">
        <is>
          <t>KC-04</t>
        </is>
      </c>
      <c r="C126" t="inlineStr">
        <is>
          <t>Token expiré → refresh</t>
        </is>
      </c>
      <c r="D126" t="inlineStr">
        <is>
          <t>Attendre expiration du access token</t>
        </is>
      </c>
      <c r="E126" t="inlineStr">
        <is>
          <t>Refresh token utilisé pour obtenir un nouveau access token</t>
        </is>
      </c>
      <c r="F126" t="inlineStr">
        <is>
          <t>HAUTE</t>
        </is>
      </c>
      <c r="G126" t="inlineStr">
        <is>
          <t>☐ À tester</t>
        </is>
      </c>
    </row>
    <row r="127">
      <c r="A127" t="inlineStr">
        <is>
          <t>Keycloak SSO</t>
        </is>
      </c>
      <c r="B127" t="inlineStr">
        <is>
          <t>KC-05</t>
        </is>
      </c>
      <c r="C127" t="inlineStr">
        <is>
          <t>Validation JWKS côté serveur</t>
        </is>
      </c>
      <c r="D127" t="inlineStr">
        <is>
          <t>Envoyer une requête API avec un token invalide</t>
        </is>
      </c>
      <c r="E127" t="inlineStr">
        <is>
          <t>401 rejeté, validation via JWKS de auth.normx-ai.com</t>
        </is>
      </c>
      <c r="F127" t="inlineStr">
        <is>
          <t>CRITIQUE</t>
        </is>
      </c>
      <c r="G127" t="inlineStr">
        <is>
          <t>☐ À tester</t>
        </is>
      </c>
    </row>
    <row r="128">
      <c r="A128" t="inlineStr">
        <is>
          <t>Isolation Données</t>
        </is>
      </c>
      <c r="B128" t="inlineStr">
        <is>
          <t>ISO-01</t>
        </is>
      </c>
      <c r="C128" t="inlineStr">
        <is>
          <t>Création schema par utilisateur</t>
        </is>
      </c>
      <c r="D128" t="inlineStr">
        <is>
          <t>Nouveau user se connecte pour la première fois</t>
        </is>
      </c>
      <c r="E128" t="inlineStr">
        <is>
          <t>Schema PostgreSQL créé automatiquement (user_&lt;keycloak_id&gt;)</t>
        </is>
      </c>
      <c r="F128" t="inlineStr">
        <is>
          <t>CRITIQUE</t>
        </is>
      </c>
      <c r="G128" t="inlineStr">
        <is>
          <t>☐ À tester</t>
        </is>
      </c>
    </row>
    <row r="129">
      <c r="A129" t="inlineStr">
        <is>
          <t>Isolation Données</t>
        </is>
      </c>
      <c r="B129" t="inlineStr">
        <is>
          <t>ISO-02</t>
        </is>
      </c>
      <c r="C129" t="inlineStr">
        <is>
          <t>Isolation conversations entre users</t>
        </is>
      </c>
      <c r="D129" t="inlineStr">
        <is>
          <t>User A crée une conversation IA → User B se connecte</t>
        </is>
      </c>
      <c r="E129" t="inlineStr">
        <is>
          <t>User B ne voit pas les conversations de User A</t>
        </is>
      </c>
      <c r="F129" t="inlineStr">
        <is>
          <t>CRITIQUE</t>
        </is>
      </c>
      <c r="G129" t="inlineStr">
        <is>
          <t>☐ À tester</t>
        </is>
      </c>
    </row>
    <row r="130">
      <c r="A130" t="inlineStr">
        <is>
          <t>Isolation Données</t>
        </is>
      </c>
      <c r="B130" t="inlineStr">
        <is>
          <t>ISO-03</t>
        </is>
      </c>
      <c r="C130" t="inlineStr">
        <is>
          <t>Isolation historique recherche</t>
        </is>
      </c>
      <c r="D130" t="inlineStr">
        <is>
          <t>User A fait des recherches → User B se connecte</t>
        </is>
      </c>
      <c r="E130" t="inlineStr">
        <is>
          <t>User B ne voit pas l'historique de recherche de User A</t>
        </is>
      </c>
      <c r="F130" t="inlineStr">
        <is>
          <t>HAUTE</t>
        </is>
      </c>
      <c r="G130" t="inlineStr">
        <is>
          <t>☐ À tester</t>
        </is>
      </c>
    </row>
    <row r="131">
      <c r="A131" t="inlineStr">
        <is>
          <t>Isolation Données</t>
        </is>
      </c>
      <c r="B131" t="inlineStr">
        <is>
          <t>ISO-04</t>
        </is>
      </c>
      <c r="C131" t="inlineStr">
        <is>
          <t>Isolation alertes fiscales</t>
        </is>
      </c>
      <c r="D131" t="inlineStr">
        <is>
          <t>User A a des alertes → User B se connecte</t>
        </is>
      </c>
      <c r="E131" t="inlineStr">
        <is>
          <t>User B ne voit pas les alertes de User A</t>
        </is>
      </c>
      <c r="F131" t="inlineStr">
        <is>
          <t>HAUTE</t>
        </is>
      </c>
      <c r="G131" t="inlineStr">
        <is>
          <t>☐ À tester</t>
        </is>
      </c>
    </row>
    <row r="132">
      <c r="A132" t="inlineStr">
        <is>
          <t>Isolation Données</t>
        </is>
      </c>
      <c r="B132" t="inlineStr">
        <is>
          <t>ISO-05</t>
        </is>
      </c>
      <c r="C132" t="inlineStr">
        <is>
          <t>Audit log par schema</t>
        </is>
      </c>
      <c r="D132" t="inlineStr">
        <is>
          <t>Effectuer des actions → vérifier audit_log</t>
        </is>
      </c>
      <c r="E132" t="inlineStr">
        <is>
          <t>Actions tracées dans le schema de l'utilisateur uniquement</t>
        </is>
      </c>
      <c r="F132" t="inlineStr">
        <is>
          <t>NORMALE</t>
        </is>
      </c>
      <c r="G132" t="inlineStr">
        <is>
          <t>☐ À tester</t>
        </is>
      </c>
    </row>
    <row r="133">
      <c r="A133" t="inlineStr">
        <is>
          <t>Landing Page</t>
        </is>
      </c>
      <c r="B133" t="inlineStr">
        <is>
          <t>LAND-01</t>
        </is>
      </c>
      <c r="C133" t="inlineStr">
        <is>
          <t>Affichage landing Pennylane</t>
        </is>
      </c>
      <c r="D133" t="inlineStr">
        <is>
          <t>Accéder à tax.normx-ai.com sans être connecté</t>
        </is>
      </c>
      <c r="E133" t="inlineStr">
        <is>
          <t>Landing page style Pennylane avec hero, features, CTA</t>
        </is>
      </c>
      <c r="F133" t="inlineStr">
        <is>
          <t>HAUTE</t>
        </is>
      </c>
      <c r="G133" t="inlineStr">
        <is>
          <t>☐ À tester</t>
        </is>
      </c>
    </row>
    <row r="134">
      <c r="A134" t="inlineStr">
        <is>
          <t>Landing Page</t>
        </is>
      </c>
      <c r="B134" t="inlineStr">
        <is>
          <t>LAND-02</t>
        </is>
      </c>
      <c r="C134" t="inlineStr">
        <is>
          <t>Bouton Connexion → Keycloak</t>
        </is>
      </c>
      <c r="D134" t="inlineStr">
        <is>
          <t>Cliquer 'Se connecter' sur la landing</t>
        </is>
      </c>
      <c r="E134" t="inlineStr">
        <is>
          <t>Redirection vers auth.normx-ai.com/realms/normx-ai</t>
        </is>
      </c>
      <c r="F134" t="inlineStr">
        <is>
          <t>CRITIQUE</t>
        </is>
      </c>
      <c r="G134" t="inlineStr">
        <is>
          <t>☐ À tester</t>
        </is>
      </c>
    </row>
    <row r="135">
      <c r="A135" t="inlineStr">
        <is>
          <t>Landing Page</t>
        </is>
      </c>
      <c r="B135" t="inlineStr">
        <is>
          <t>LAND-03</t>
        </is>
      </c>
      <c r="C135" t="inlineStr">
        <is>
          <t>Responsive mobile landing</t>
        </is>
      </c>
      <c r="D135" t="inlineStr">
        <is>
          <t>Ouvrir tax.normx-ai.com sur mobile</t>
        </is>
      </c>
      <c r="E135" t="inlineStr">
        <is>
          <t>Landing adaptée mobile, pas de scroll horizontal</t>
        </is>
      </c>
      <c r="F135" t="inlineStr">
        <is>
          <t>HAUTE</t>
        </is>
      </c>
      <c r="G135" t="inlineStr">
        <is>
          <t>☐ À tester</t>
        </is>
      </c>
    </row>
    <row r="136">
      <c r="A136" t="inlineStr">
        <is>
          <t>Landing Page</t>
        </is>
      </c>
      <c r="B136" t="inlineStr">
        <is>
          <t>LAND-04</t>
        </is>
      </c>
      <c r="C136" t="inlineStr">
        <is>
          <t>Footer bleu marine</t>
        </is>
      </c>
      <c r="D136" t="inlineStr">
        <is>
          <t>Scroller en bas de la landing</t>
        </is>
      </c>
      <c r="E136" t="inlineStr">
        <is>
          <t>Footer fond bleu marine (#1A3A5C), texte blanc</t>
        </is>
      </c>
      <c r="F136" t="inlineStr">
        <is>
          <t>NORMALE</t>
        </is>
      </c>
      <c r="G136" t="inlineStr">
        <is>
          <t>☐ À tester</t>
        </is>
      </c>
    </row>
    <row r="137">
      <c r="A137" t="inlineStr">
        <is>
          <t>Landing Page</t>
        </is>
      </c>
      <c r="B137" t="inlineStr">
        <is>
          <t>LAND-05</t>
        </is>
      </c>
      <c r="C137" t="inlineStr">
        <is>
          <t>Liens CGU/mentions/confidentialité</t>
        </is>
      </c>
      <c r="D137" t="inlineStr">
        <is>
          <t>Cliquer les liens légaux dans le footer</t>
        </is>
      </c>
      <c r="E137" t="inlineStr">
        <is>
          <t>Pages légales accessibles (normx-ai.com ou in-app)</t>
        </is>
      </c>
      <c r="F137" t="inlineStr">
        <is>
          <t>HAUTE</t>
        </is>
      </c>
      <c r="G137" t="inlineStr">
        <is>
          <t>☐ À tester</t>
        </is>
      </c>
    </row>
    <row r="138">
      <c r="A138" t="inlineStr">
        <is>
          <t>Dashboard</t>
        </is>
      </c>
      <c r="B138" t="inlineStr">
        <is>
          <t>DASH-01</t>
        </is>
      </c>
      <c r="C138" t="inlineStr">
        <is>
          <t>Stats bar bleu marine/or</t>
        </is>
      </c>
      <c r="D138" t="inlineStr">
        <is>
          <t>Se connecter → observer la barre de stats</t>
        </is>
      </c>
      <c r="E138" t="inlineStr">
        <is>
          <t>Barre avec stats (articles, simulateurs, IA) en bleu marine/or</t>
        </is>
      </c>
      <c r="F138" t="inlineStr">
        <is>
          <t>NORMALE</t>
        </is>
      </c>
      <c r="G138" t="inlineStr">
        <is>
          <t>☐ À tester</t>
        </is>
      </c>
    </row>
    <row r="139">
      <c r="A139" t="inlineStr">
        <is>
          <t>Dashboard</t>
        </is>
      </c>
      <c r="B139" t="inlineStr">
        <is>
          <t>DASH-02</t>
        </is>
      </c>
      <c r="C139" t="inlineStr">
        <is>
          <t>Actions rapides 2x2</t>
        </is>
      </c>
      <c r="D139" t="inlineStr">
        <is>
          <t>Observer les actions rapides sur le dashboard</t>
        </is>
      </c>
      <c r="E139" t="inlineStr">
        <is>
          <t>4 actions rapides en grille 2x2 en premier</t>
        </is>
      </c>
      <c r="F139" t="inlineStr">
        <is>
          <t>NORMALE</t>
        </is>
      </c>
      <c r="G139" t="inlineStr">
        <is>
          <t>☐ À tester</t>
        </is>
      </c>
    </row>
    <row r="140">
      <c r="A140" t="inlineStr">
        <is>
          <t>Dashboard</t>
        </is>
      </c>
      <c r="B140" t="inlineStr">
        <is>
          <t>DASH-03</t>
        </is>
      </c>
      <c r="C140" t="inlineStr">
        <is>
          <t>Thème cohérent or/bleu</t>
        </is>
      </c>
      <c r="D140" t="inlineStr">
        <is>
          <t>Naviguer dans l'application</t>
        </is>
      </c>
      <c r="E140" t="inlineStr">
        <is>
          <t>Couleurs uniformes : or (#D4A843), bleu marine (#1A3A5C)</t>
        </is>
      </c>
      <c r="F140" t="inlineStr">
        <is>
          <t>NORMALE</t>
        </is>
      </c>
      <c r="G140" t="inlineStr">
        <is>
          <t>☐ À tester</t>
        </is>
      </c>
    </row>
  </sheetData>
  <autoFilter ref="A3:K3"/>
  <mergeCells count="2">
    <mergeCell ref="A2:K2"/>
    <mergeCell ref="A1:K1"/>
  </mergeCells>
  <dataValidations count="1">
    <dataValidation sqref="G4:G122" showDropDown="0" showInputMessage="0" showErrorMessage="0" allowBlank="1" errorTitle="Statut invalide" error="Choisir un statut dans la liste" type="list">
      <formula1>"☐ À tester,✅ PASS,❌ FAIL,⚠️ PARTIEL,🚫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40" customWidth="1" min="4" max="4"/>
    <col width="45" customWidth="1" min="5" max="5"/>
    <col width="12" customWidth="1" min="6" max="6"/>
    <col width="12" customWidth="1" min="7" max="7"/>
    <col width="16" customWidth="1" min="8" max="8"/>
    <col width="14" customWidth="1" min="9" max="9"/>
  </cols>
  <sheetData>
    <row r="1" ht="35" customHeight="1">
      <c r="A1" s="1" t="inlineStr">
        <is>
          <t>NORMX Tax 2026 — Registre des Bugs &amp; Besoins d'Évolution</t>
        </is>
      </c>
      <c r="B1" s="21" t="n"/>
      <c r="C1" s="21" t="n"/>
      <c r="D1" s="21" t="n"/>
      <c r="E1" s="21" t="n"/>
      <c r="F1" s="21" t="n"/>
      <c r="G1" s="21" t="n"/>
      <c r="H1" s="21" t="n"/>
      <c r="I1" s="22" t="n"/>
    </row>
    <row r="2">
      <c r="A2" s="2" t="inlineStr">
        <is>
          <t>Consignez ici tous les bugs détectés et besoins d'amélioration identifiés pendant les tests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</row>
    <row r="3">
      <c r="A3" s="3" t="inlineStr">
        <is>
          <t>#</t>
        </is>
      </c>
      <c r="B3" s="3" t="inlineStr">
        <is>
          <t>ID Test</t>
        </is>
      </c>
      <c r="C3" s="3" t="inlineStr">
        <is>
          <t>Module</t>
        </is>
      </c>
      <c r="D3" s="3" t="inlineStr">
        <is>
          <t>Description du problème</t>
        </is>
      </c>
      <c r="E3" s="3" t="inlineStr">
        <is>
          <t>Comportement observé / Détail</t>
        </is>
      </c>
      <c r="F3" s="3" t="inlineStr">
        <is>
          <t>Type</t>
        </is>
      </c>
      <c r="G3" s="3" t="inlineStr">
        <is>
          <t>Priorité</t>
        </is>
      </c>
      <c r="H3" s="3" t="inlineStr">
        <is>
          <t>Statut résolution</t>
        </is>
      </c>
      <c r="I3" s="3" t="inlineStr">
        <is>
          <t>Date détection</t>
        </is>
      </c>
    </row>
    <row r="4">
      <c r="A4" s="10">
        <f>IF(B4&lt;&gt;"",1,"")</f>
        <v/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>
        <f>IF(B5&lt;&gt;"",2,"")</f>
        <v/>
      </c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10">
        <f>IF(B6&lt;&gt;"",3,"")</f>
        <v/>
      </c>
      <c r="B6" s="10" t="n"/>
      <c r="C6" s="10" t="n"/>
      <c r="D6" s="10" t="n"/>
      <c r="E6" s="10" t="n"/>
      <c r="F6" s="10" t="n"/>
      <c r="G6" s="10" t="n"/>
      <c r="H6" s="10" t="n"/>
      <c r="I6" s="10" t="n"/>
    </row>
    <row r="7">
      <c r="A7" s="12">
        <f>IF(B7&lt;&gt;"",4,"")</f>
        <v/>
      </c>
      <c r="B7" s="12" t="n"/>
      <c r="C7" s="12" t="n"/>
      <c r="D7" s="12" t="n"/>
      <c r="E7" s="12" t="n"/>
      <c r="F7" s="12" t="n"/>
      <c r="G7" s="12" t="n"/>
      <c r="H7" s="12" t="n"/>
      <c r="I7" s="12" t="n"/>
    </row>
    <row r="8">
      <c r="A8" s="10">
        <f>IF(B8&lt;&gt;"",5,"")</f>
        <v/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2">
        <f>IF(B9&lt;&gt;"",6,"")</f>
        <v/>
      </c>
      <c r="B9" s="12" t="n"/>
      <c r="C9" s="12" t="n"/>
      <c r="D9" s="12" t="n"/>
      <c r="E9" s="12" t="n"/>
      <c r="F9" s="12" t="n"/>
      <c r="G9" s="12" t="n"/>
      <c r="H9" s="12" t="n"/>
      <c r="I9" s="12" t="n"/>
    </row>
    <row r="10">
      <c r="A10" s="10">
        <f>IF(B10&lt;&gt;"",7,"")</f>
        <v/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2">
        <f>IF(B11&lt;&gt;"",8,"")</f>
        <v/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0">
        <f>IF(B12&lt;&gt;"",9,"")</f>
        <v/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2">
        <f>IF(B13&lt;&gt;"",10,"")</f>
        <v/>
      </c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0">
        <f>IF(B14&lt;&gt;"",11,"")</f>
        <v/>
      </c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2">
        <f>IF(B15&lt;&gt;"",12,"")</f>
        <v/>
      </c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0">
        <f>IF(B16&lt;&gt;"",13,"")</f>
        <v/>
      </c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2">
        <f>IF(B17&lt;&gt;"",14,"")</f>
        <v/>
      </c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0">
        <f>IF(B18&lt;&gt;"",15,"")</f>
        <v/>
      </c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2">
        <f>IF(B19&lt;&gt;"",16,"")</f>
        <v/>
      </c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0">
        <f>IF(B20&lt;&gt;"",17,"")</f>
        <v/>
      </c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2">
        <f>IF(B21&lt;&gt;"",18,"")</f>
        <v/>
      </c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0">
        <f>IF(B22&lt;&gt;"",19,"")</f>
        <v/>
      </c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2">
        <f>IF(B23&lt;&gt;"",20,"")</f>
        <v/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0">
        <f>IF(B24&lt;&gt;"",21,"")</f>
        <v/>
      </c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2">
        <f>IF(B25&lt;&gt;"",22,"")</f>
        <v/>
      </c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0">
        <f>IF(B26&lt;&gt;"",23,"")</f>
        <v/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2">
        <f>IF(B27&lt;&gt;"",24,"")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0">
        <f>IF(B28&lt;&gt;"",25,"")</f>
        <v/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2">
        <f>IF(B29&lt;&gt;"",26,"")</f>
        <v/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0">
        <f>IF(B30&lt;&gt;"",27,"")</f>
        <v/>
      </c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2">
        <f>IF(B31&lt;&gt;"",28,"")</f>
        <v/>
      </c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A32" s="10">
        <f>IF(B32&lt;&gt;"",29,"")</f>
        <v/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2">
        <f>IF(B33&lt;&gt;"",30,"")</f>
        <v/>
      </c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>
      <c r="A34" s="10">
        <f>IF(B34&lt;&gt;"",31,"")</f>
        <v/>
      </c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2">
        <f>IF(B35&lt;&gt;"",32,"")</f>
        <v/>
      </c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0">
        <f>IF(B36&lt;&gt;"",33,"")</f>
        <v/>
      </c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2">
        <f>IF(B37&lt;&gt;"",34,"")</f>
        <v/>
      </c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A38" s="10">
        <f>IF(B38&lt;&gt;"",35,"")</f>
        <v/>
      </c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2">
        <f>IF(B39&lt;&gt;"",36,"")</f>
        <v/>
      </c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10">
        <f>IF(B40&lt;&gt;"",37,"")</f>
        <v/>
      </c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2">
        <f>IF(B41&lt;&gt;"",38,"")</f>
        <v/>
      </c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>
      <c r="A42" s="10">
        <f>IF(B42&lt;&gt;"",39,"")</f>
        <v/>
      </c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2">
        <f>IF(B43&lt;&gt;"",40,"")</f>
        <v/>
      </c>
      <c r="B43" s="12" t="n"/>
      <c r="C43" s="12" t="n"/>
      <c r="D43" s="12" t="n"/>
      <c r="E43" s="12" t="n"/>
      <c r="F43" s="12" t="n"/>
      <c r="G43" s="12" t="n"/>
      <c r="H43" s="12" t="n"/>
      <c r="I43" s="12" t="n"/>
    </row>
    <row r="44">
      <c r="A44" s="10">
        <f>IF(B44&lt;&gt;"",41,"")</f>
        <v/>
      </c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2">
        <f>IF(B45&lt;&gt;"",42,"")</f>
        <v/>
      </c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>
      <c r="A46" s="10">
        <f>IF(B46&lt;&gt;"",43,"")</f>
        <v/>
      </c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2">
        <f>IF(B47&lt;&gt;"",44,"")</f>
        <v/>
      </c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>
      <c r="A48" s="10">
        <f>IF(B48&lt;&gt;"",45,"")</f>
        <v/>
      </c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2">
        <f>IF(B49&lt;&gt;"",46,"")</f>
        <v/>
      </c>
      <c r="B49" s="12" t="n"/>
      <c r="C49" s="12" t="n"/>
      <c r="D49" s="12" t="n"/>
      <c r="E49" s="12" t="n"/>
      <c r="F49" s="12" t="n"/>
      <c r="G49" s="12" t="n"/>
      <c r="H49" s="12" t="n"/>
      <c r="I49" s="12" t="n"/>
    </row>
    <row r="50">
      <c r="A50" s="10">
        <f>IF(B50&lt;&gt;"",47,"")</f>
        <v/>
      </c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2">
        <f>IF(B51&lt;&gt;"",48,"")</f>
        <v/>
      </c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>
      <c r="A52" s="10">
        <f>IF(B52&lt;&gt;"",49,"")</f>
        <v/>
      </c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2">
        <f>IF(B53&lt;&gt;"",50,"")</f>
        <v/>
      </c>
      <c r="B53" s="12" t="n"/>
      <c r="C53" s="12" t="n"/>
      <c r="D53" s="12" t="n"/>
      <c r="E53" s="12" t="n"/>
      <c r="F53" s="12" t="n"/>
      <c r="G53" s="12" t="n"/>
      <c r="H53" s="12" t="n"/>
      <c r="I53" s="12" t="n"/>
    </row>
  </sheetData>
  <autoFilter ref="A3:I3"/>
  <mergeCells count="2">
    <mergeCell ref="A1:I1"/>
    <mergeCell ref="A2:I2"/>
  </mergeCells>
  <dataValidations count="3">
    <dataValidation sqref="F4:F53" showDropDown="0" showInputMessage="0" showErrorMessage="0" allowBlank="1" type="list">
      <formula1>"BUG,EVOLUTION,QUESTION,BLOQUANT"</formula1>
    </dataValidation>
    <dataValidation sqref="G4:G53" showDropDown="0" showInputMessage="0" showErrorMessage="0" allowBlank="1" type="list">
      <formula1>"CRITIQUE,HAUTE,NORMALE,BASSE"</formula1>
    </dataValidation>
    <dataValidation sqref="H4:H53" showDropDown="0" showInputMessage="0" showErrorMessage="0" allowBlank="1" type="list">
      <formula1>"OUVERT,EN COURS,CORRIGÉ,REPORTÉ,FERMÉ"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 ht="35" customHeight="1">
      <c r="A1" s="1" t="inlineStr">
        <is>
          <t>NORMX Tax 2026 — Guide d'utilisation du fichier de tests</t>
        </is>
      </c>
      <c r="B1" s="21" t="n"/>
      <c r="C1" s="22" t="n"/>
    </row>
    <row r="2">
      <c r="A2" s="16" t="inlineStr"/>
      <c r="B2" s="20" t="inlineStr"/>
      <c r="C2" s="17" t="inlineStr"/>
    </row>
    <row r="3">
      <c r="A3" s="15" t="inlineStr">
        <is>
          <t>🎯  COMMENT UTILISER CE FICHIER</t>
        </is>
      </c>
    </row>
    <row r="4">
      <c r="A4" s="16" t="inlineStr"/>
      <c r="B4" s="20" t="inlineStr">
        <is>
          <t>1. Aller dans la feuille '🧪 Tests'</t>
        </is>
      </c>
      <c r="C4" s="17" t="inlineStr">
        <is>
          <t>C'est ici que vous exécutez les tests un par un</t>
        </is>
      </c>
    </row>
    <row r="5">
      <c r="A5" s="16" t="inlineStr"/>
      <c r="B5" s="20" t="inlineStr">
        <is>
          <t>2. Lire les colonnes D et E</t>
        </is>
      </c>
      <c r="C5" s="17" t="inlineStr">
        <is>
          <t>Actions à effectuer et résultat attendu</t>
        </is>
      </c>
    </row>
    <row r="6">
      <c r="A6" s="16" t="inlineStr"/>
      <c r="B6" s="20" t="inlineStr">
        <is>
          <t>3. Changer le STATUT (colonne G)</t>
        </is>
      </c>
      <c r="C6" s="17" t="inlineStr">
        <is>
          <t>Cliquer → choisir dans la liste déroulante</t>
        </is>
      </c>
    </row>
    <row r="7">
      <c r="A7" s="16" t="inlineStr"/>
      <c r="B7" s="20" t="inlineStr">
        <is>
          <t>4. Remplir la date de test (colonne H)</t>
        </is>
      </c>
      <c r="C7" s="17" t="inlineStr">
        <is>
          <t>Date d'exécution du test</t>
        </is>
      </c>
    </row>
    <row r="8">
      <c r="A8" s="16" t="inlineStr"/>
      <c r="B8" s="20" t="inlineStr">
        <is>
          <t>5. Écrire les bugs (colonne I)</t>
        </is>
      </c>
      <c r="C8" s="17" t="inlineStr">
        <is>
          <t>Décrivez le problème si FAIL ou PARTIEL</t>
        </is>
      </c>
    </row>
    <row r="9">
      <c r="A9" s="16" t="inlineStr"/>
      <c r="B9" s="20" t="inlineStr">
        <is>
          <t>6. Écrire les évolutions (colonne J)</t>
        </is>
      </c>
      <c r="C9" s="17" t="inlineStr">
        <is>
          <t>Idée d'amélioration ou fonctionnalité manquante</t>
        </is>
      </c>
    </row>
    <row r="10">
      <c r="A10" s="16" t="inlineStr"/>
      <c r="B10" s="20" t="inlineStr">
        <is>
          <t>7. Consulter le Tableau de Bord</t>
        </is>
      </c>
      <c r="C10" s="17" t="inlineStr">
        <is>
          <t>Se met à jour automatiquement</t>
        </is>
      </c>
    </row>
    <row r="11">
      <c r="A11" s="16" t="inlineStr"/>
      <c r="B11" s="20" t="inlineStr">
        <is>
          <t>8. Reporter les bugs dans '🐛 Bugs'</t>
        </is>
      </c>
      <c r="C11" s="17" t="inlineStr">
        <is>
          <t>Registre dédié avec priorités</t>
        </is>
      </c>
    </row>
    <row r="12">
      <c r="A12" s="16" t="inlineStr"/>
      <c r="B12" s="20" t="inlineStr"/>
      <c r="C12" s="17" t="inlineStr"/>
    </row>
    <row r="13">
      <c r="A13" s="15" t="inlineStr">
        <is>
          <t>📊  TABLEAU DE BORD</t>
        </is>
      </c>
    </row>
    <row r="14">
      <c r="A14" s="16" t="inlineStr"/>
      <c r="B14" s="20" t="inlineStr">
        <is>
          <t>Mise à jour automatique</t>
        </is>
      </c>
      <c r="C14" s="17" t="inlineStr">
        <is>
          <t>Compteurs PASS/FAIL/PARTIEL en temps réel</t>
        </is>
      </c>
    </row>
    <row r="15">
      <c r="A15" s="16" t="inlineStr"/>
      <c r="B15" s="20" t="inlineStr">
        <is>
          <t>% Avancement</t>
        </is>
      </c>
      <c r="C15" s="17" t="inlineStr">
        <is>
          <t>PASS + PARTIEL × 50%</t>
        </is>
      </c>
    </row>
    <row r="16">
      <c r="A16" s="16" t="inlineStr"/>
      <c r="B16" s="20" t="inlineStr">
        <is>
          <t>17 modules</t>
        </is>
      </c>
      <c r="C16" s="17" t="inlineStr">
        <is>
          <t>11 fiscaux + 6 sociaux</t>
        </is>
      </c>
    </row>
    <row r="17">
      <c r="A17" s="16" t="inlineStr"/>
      <c r="B17" s="20" t="inlineStr"/>
      <c r="C17" s="17" t="inlineStr"/>
    </row>
    <row r="18">
      <c r="A18" s="15" t="inlineStr">
        <is>
          <t>🔵  CODES PRIORITÉ</t>
        </is>
      </c>
    </row>
    <row r="19">
      <c r="A19" s="16" t="inlineStr"/>
      <c r="B19" s="20" t="inlineStr">
        <is>
          <t>CRITIQUE</t>
        </is>
      </c>
      <c r="C19" s="17" t="inlineStr">
        <is>
          <t>À tester en PREMIER — bloque la production si FAIL</t>
        </is>
      </c>
    </row>
    <row r="20">
      <c r="A20" s="16" t="inlineStr"/>
      <c r="B20" s="20" t="inlineStr">
        <is>
          <t>HAUTE</t>
        </is>
      </c>
      <c r="C20" s="17" t="inlineStr">
        <is>
          <t>À tester avant la mise en production</t>
        </is>
      </c>
    </row>
    <row r="21">
      <c r="A21" s="16" t="inlineStr"/>
      <c r="B21" s="20" t="inlineStr">
        <is>
          <t>NORMALE</t>
        </is>
      </c>
      <c r="C21" s="17" t="inlineStr">
        <is>
          <t>Tests complets</t>
        </is>
      </c>
    </row>
    <row r="22">
      <c r="A22" s="16" t="inlineStr"/>
      <c r="B22" s="20" t="inlineStr">
        <is>
          <t>BASSE</t>
        </is>
      </c>
      <c r="C22" s="17" t="inlineStr">
        <is>
          <t>Peut être testé après la production</t>
        </is>
      </c>
    </row>
    <row r="23">
      <c r="A23" s="16" t="inlineStr"/>
      <c r="B23" s="20" t="inlineStr"/>
      <c r="C23" s="17" t="inlineStr"/>
    </row>
    <row r="24">
      <c r="A24" s="15" t="inlineStr">
        <is>
          <t>✅  CRITÈRES MISE EN PRODUCTION</t>
        </is>
      </c>
    </row>
    <row r="25">
      <c r="A25" s="16" t="inlineStr"/>
      <c r="B25" s="20" t="inlineStr">
        <is>
          <t>Minimum requis</t>
        </is>
      </c>
      <c r="C25" s="17" t="inlineStr">
        <is>
          <t>100% des tests CRITIQUE en PASS ou N/A</t>
        </is>
      </c>
    </row>
    <row r="26">
      <c r="A26" s="16" t="inlineStr"/>
      <c r="B26" s="20" t="inlineStr">
        <is>
          <t>Recommandé</t>
        </is>
      </c>
      <c r="C26" s="17" t="inlineStr">
        <is>
          <t>80% de tous les tests en PASS</t>
        </is>
      </c>
    </row>
    <row r="27">
      <c r="A27" s="16" t="inlineStr"/>
      <c r="B27" s="20" t="inlineStr">
        <is>
          <t>Aucun bug BLOQUANT</t>
        </is>
      </c>
      <c r="C27" s="17" t="inlineStr">
        <is>
          <t>Tous résolus avant lancement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2026-03-24T09:54:19Z</dcterms:created>
  <dcterms:modified xmlns:dcterms="http://purl.org/dc/terms/" xmlns:xsi="http://www.w3.org/2001/XMLSchema-instance" xsi:type="dcterms:W3CDTF">2026-03-29T07:14:38Z</dcterms:modified>
</cp:coreProperties>
</file>