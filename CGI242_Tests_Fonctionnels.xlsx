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📊 Tableau de Bord" sheetId="1" state="visible" r:id="rId3"/>
    <sheet name="🧪 Tests" sheetId="2" state="visible" r:id="rId4"/>
    <sheet name="🐛 Bugs &amp; Évolutions" sheetId="3" state="visible" r:id="rId5"/>
    <sheet name="📘 Guide" sheetId="4" state="visible" r:id="rId6"/>
  </sheets>
  <definedNames>
    <definedName function="false" hidden="true" localSheetId="2" name="_xlnm._FilterDatabase" vbProcedure="false">'🐛 Bugs &amp; Évolutions'!$A$3:$I$3</definedName>
    <definedName function="false" hidden="true" localSheetId="1" name="_xlnm._FilterDatabase" vbProcedure="false">'🧪 Tests'!$A$3:$K$3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<sst xmlns="http://schemas.openxmlformats.org/spreadsheetml/2006/main" count="1117" uniqueCount="689">
  <si>
    <t xml:space="preserve">NORMX Tax 2026 — Plan de Tests Fonctionnels</t>
  </si>
  <si>
    <t xml:space="preserve">NORMX AI SAS  ·  Testeur : Christelle  ·  Version 3.0 (Keycloak SSO + Schema PG + Landing Pennylane)</t>
  </si>
  <si>
    <t xml:space="preserve">Module</t>
  </si>
  <si>
    <t xml:space="preserve">Tests</t>
  </si>
  <si>
    <t xml:space="preserve">✅ PASS</t>
  </si>
  <si>
    <t xml:space="preserve">❌ FAIL</t>
  </si>
  <si>
    <t xml:space="preserve">⚠️ PARTIEL</t>
  </si>
  <si>
    <t xml:space="preserve">☐ À tester</t>
  </si>
  <si>
    <t xml:space="preserve">% Avancement</t>
  </si>
  <si>
    <t xml:space="preserve">Clé filtre</t>
  </si>
  <si>
    <t xml:space="preserve">🔐  Authentification</t>
  </si>
  <si>
    <t xml:space="preserve">🔐</t>
  </si>
  <si>
    <t xml:space="preserve">Authentification</t>
  </si>
  <si>
    <t xml:space="preserve">🏠  Accueil (Home)</t>
  </si>
  <si>
    <t xml:space="preserve">🏠</t>
  </si>
  <si>
    <t xml:space="preserve">Accueil (Home)</t>
  </si>
  <si>
    <t xml:space="preserve">📖  Navigation CGI</t>
  </si>
  <si>
    <t xml:space="preserve">📖</t>
  </si>
  <si>
    <t xml:space="preserve">Navigation CGI</t>
  </si>
  <si>
    <t xml:space="preserve">🔍  Recherche</t>
  </si>
  <si>
    <t xml:space="preserve">🔍</t>
  </si>
  <si>
    <t xml:space="preserve">Recherche</t>
  </si>
  <si>
    <t xml:space="preserve">📊  Simulateurs</t>
  </si>
  <si>
    <t xml:space="preserve">📊</t>
  </si>
  <si>
    <t xml:space="preserve">Simulateurs</t>
  </si>
  <si>
    <t xml:space="preserve">🤖  Assistant IA</t>
  </si>
  <si>
    <t xml:space="preserve">🤖</t>
  </si>
  <si>
    <t xml:space="preserve">Assistant IA</t>
  </si>
  <si>
    <t xml:space="preserve">📅  Calendrier Fiscal</t>
  </si>
  <si>
    <t xml:space="preserve">📅</t>
  </si>
  <si>
    <t xml:space="preserve">Calendrier Fiscal</t>
  </si>
  <si>
    <t xml:space="preserve">👤  Profil &amp; Abonnement</t>
  </si>
  <si>
    <t xml:space="preserve">👤</t>
  </si>
  <si>
    <t xml:space="preserve">Profil &amp; Abonnement</t>
  </si>
  <si>
    <t xml:space="preserve">🔓  FREE Trial</t>
  </si>
  <si>
    <t xml:space="preserve">🔓</t>
  </si>
  <si>
    <t xml:space="preserve">FREE Trial</t>
  </si>
  <si>
    <t xml:space="preserve">⚡  Performance</t>
  </si>
  <si>
    <t xml:space="preserve">⚡</t>
  </si>
  <si>
    <t xml:space="preserve">Performance</t>
  </si>
  <si>
    <t xml:space="preserve">📱  UX Mobile</t>
  </si>
  <si>
    <t xml:space="preserve">📱</t>
  </si>
  <si>
    <t xml:space="preserve">UX Mobile</t>
  </si>
  <si>
    <t xml:space="preserve">📖  Navigation Social</t>
  </si>
  <si>
    <t xml:space="preserve">Navigation Social</t>
  </si>
  <si>
    <t xml:space="preserve">🔍  Recherche Social</t>
  </si>
  <si>
    <t xml:space="preserve">Recherche Social</t>
  </si>
  <si>
    <t xml:space="preserve">🤖  Assistant IA Social</t>
  </si>
  <si>
    <t xml:space="preserve">Assistant IA Social</t>
  </si>
  <si>
    <t xml:space="preserve">📋  Audit Facture</t>
  </si>
  <si>
    <t xml:space="preserve">📋</t>
  </si>
  <si>
    <t xml:space="preserve">Audit Facture</t>
  </si>
  <si>
    <t xml:space="preserve">🏢  Organisation</t>
  </si>
  <si>
    <t xml:space="preserve">🏢</t>
  </si>
  <si>
    <t xml:space="preserve">Organisation</t>
  </si>
  <si>
    <t xml:space="preserve">🔐  Keycloak OTP</t>
  </si>
  <si>
    <t xml:space="preserve">Keycloak SSO</t>
  </si>
  <si>
    <t xml:space="preserve">🔑  Keycloak SSO</t>
  </si>
  <si>
    <t xml:space="preserve">🔑</t>
  </si>
  <si>
    <t xml:space="preserve">🗄️  Isolation Données</t>
  </si>
  <si>
    <t xml:space="preserve">🗄️</t>
  </si>
  <si>
    <t xml:space="preserve">Isolation Données</t>
  </si>
  <si>
    <t xml:space="preserve">🌐  Landing Page</t>
  </si>
  <si>
    <t xml:space="preserve">🌐</t>
  </si>
  <si>
    <t xml:space="preserve">Landing Page</t>
  </si>
  <si>
    <t xml:space="preserve">📊  Dashboard</t>
  </si>
  <si>
    <t xml:space="preserve">Dashboard</t>
  </si>
  <si>
    <t xml:space="preserve">📊  TOTAL GÉNÉRAL</t>
  </si>
  <si>
    <t xml:space="preserve">LÉGENDE DES STATUTS</t>
  </si>
  <si>
    <t xml:space="preserve">Test non encore exécuté</t>
  </si>
  <si>
    <t xml:space="preserve">Test réussi — comportement conforme</t>
  </si>
  <si>
    <t xml:space="preserve">Test échoué — bug à corriger</t>
  </si>
  <si>
    <t xml:space="preserve">Test partiellement réussi — à surveiller</t>
  </si>
  <si>
    <t xml:space="preserve">🚫 N/A</t>
  </si>
  <si>
    <t xml:space="preserve">Test non applicable dans ce contexte</t>
  </si>
  <si>
    <t xml:space="preserve">✅  CRITÈRES MISE EN PRODUCTION</t>
  </si>
  <si>
    <t xml:space="preserve">Minimum requis</t>
  </si>
  <si>
    <t xml:space="preserve">100% des tests CRITIQUE en PASS ou N/A</t>
  </si>
  <si>
    <t xml:space="preserve">Recommandé</t>
  </si>
  <si>
    <t xml:space="preserve">80% de tous les tests en PASS</t>
  </si>
  <si>
    <t xml:space="preserve">Aucun bug BLOQUANT</t>
  </si>
  <si>
    <t xml:space="preserve">Tous les bugs BLOQUANT doivent être CORRIGÉ avant lancement</t>
  </si>
  <si>
    <t xml:space="preserve">NORMX Tax 2026 — Grille de Tests Fonctionnels Interactive</t>
  </si>
  <si>
    <t xml:space="preserve">Modifiez la colonne STATUT avec la liste déroulante · Version 3.0 (Keycloak SSO + Schema PG + Landing Pennylane)</t>
  </si>
  <si>
    <t xml:space="preserve">MODULE</t>
  </si>
  <si>
    <t xml:space="preserve">ID TEST</t>
  </si>
  <si>
    <t xml:space="preserve">DESCRIPTION</t>
  </si>
  <si>
    <t xml:space="preserve">ACTIONS À EFFECTUER</t>
  </si>
  <si>
    <t xml:space="preserve">RÉSULTAT ATTENDU</t>
  </si>
  <si>
    <t xml:space="preserve">PRIORITÉ</t>
  </si>
  <si>
    <t xml:space="preserve">STATUT</t>
  </si>
  <si>
    <t xml:space="preserve">DATE TEST</t>
  </si>
  <si>
    <t xml:space="preserve">🐛 COMMENTAIRE / BUG</t>
  </si>
  <si>
    <t xml:space="preserve">💡 BESOIN D'ÉVOLUTION</t>
  </si>
  <si>
    <t xml:space="preserve">TESTÉ PAR</t>
  </si>
  <si>
    <t xml:space="preserve">AUTH-01</t>
  </si>
  <si>
    <t xml:space="preserve">Inscription via Keycloak SSO</t>
  </si>
  <si>
    <t xml:space="preserve">Accéder à tax.normx-ai.com → Cliquer 'Créer un compte' → Formulaire Keycloak</t>
  </si>
  <si>
    <t xml:space="preserve">Compte créé sur auth.normx-ai.com, OTP email envoyé, redirection vers l'app</t>
  </si>
  <si>
    <t xml:space="preserve">CRITIQUE</t>
  </si>
  <si>
    <t xml:space="preserve">AUTH-02</t>
  </si>
  <si>
    <t xml:space="preserve">Connexion Keycloak SSO</t>
  </si>
  <si>
    <t xml:space="preserve">Accéder à tax.normx-ai.com → 'Se connecter' → Identifiants Keycloak</t>
  </si>
  <si>
    <t xml:space="preserve">Token JWT reçu, accès dashboard, nom affiché, token stocké en localStorage</t>
  </si>
  <si>
    <t xml:space="preserve">AUTH-03</t>
  </si>
  <si>
    <t xml:space="preserve">Brute force protection Keycloak</t>
  </si>
  <si>
    <t xml:space="preserve">Entrer un mot de passe erroné 5 fois de suite sur auth.normx-ai.com</t>
  </si>
  <si>
    <t xml:space="preserve">Compte temporairement bloqué par Keycloak, message d'erreur clair</t>
  </si>
  <si>
    <t xml:space="preserve">HAUTE</t>
  </si>
  <si>
    <t xml:space="preserve">AUTH-04</t>
  </si>
  <si>
    <t xml:space="preserve">Réinitialisation mot de passe Keycloak</t>
  </si>
  <si>
    <t xml:space="preserve">Cliquer 'Mot de passe oublié' sur auth.normx-ai.com → saisir email</t>
  </si>
  <si>
    <t xml:space="preserve">Email de réinitialisation envoyé via Keycloak SMTP</t>
  </si>
  <si>
    <t xml:space="preserve">AUTH-05</t>
  </si>
  <si>
    <t xml:space="preserve">Déconnexion Keycloak</t>
  </si>
  <si>
    <t xml:space="preserve">Menu profil → Déconnexion</t>
  </si>
  <si>
    <t xml:space="preserve">Session Keycloak fermée, tokens supprimés, retour landing page</t>
  </si>
  <si>
    <t xml:space="preserve">NORMALE</t>
  </si>
  <si>
    <t xml:space="preserve">AUTH-06</t>
  </si>
  <si>
    <t xml:space="preserve">Accès protégé sans token</t>
  </si>
  <si>
    <t xml:space="preserve">Accéder directement à une URL API sans token Bearer</t>
  </si>
  <si>
    <t xml:space="preserve">401 Unauthorized, redirection vers login Keycloak</t>
  </si>
  <si>
    <t xml:space="preserve">HOME-01</t>
  </si>
  <si>
    <t xml:space="preserve">Affichage tableau de bord</t>
  </si>
  <si>
    <t xml:space="preserve">Se connecter et observer l'écran Home</t>
  </si>
  <si>
    <t xml:space="preserve">Accueil avec stats, codes CGI+Social, actions rapides, échéances fiscales</t>
  </si>
  <si>
    <t xml:space="preserve">HOME-02</t>
  </si>
  <si>
    <t xml:space="preserve">Raccourcis de navigation fonctionnels</t>
  </si>
  <si>
    <t xml:space="preserve">Tapper les raccourcis (CGI, Social, IA, Simul)</t>
  </si>
  <si>
    <t xml:space="preserve">Chaque raccourci ouvre le bon module sans délai</t>
  </si>
  <si>
    <t xml:space="preserve">HOME-03</t>
  </si>
  <si>
    <t xml:space="preserve">Historique des consultations récentes</t>
  </si>
  <si>
    <t xml:space="preserve">Consulter 3 articles → Revenir à l'accueil</t>
  </si>
  <si>
    <t xml:space="preserve">Les 3 articles apparaissent dans 'Dernières consultations'</t>
  </si>
  <si>
    <t xml:space="preserve">HOME-04</t>
  </si>
  <si>
    <t xml:space="preserve">Alerte prochaine échéance fiscale</t>
  </si>
  <si>
    <t xml:space="preserve">Observer la carte d'échéance sur l'accueil</t>
  </si>
  <si>
    <t xml:space="preserve">Échéance fiscale la plus proche affichée</t>
  </si>
  <si>
    <t xml:space="preserve">Echeance declaecnher a J combien</t>
  </si>
  <si>
    <t xml:space="preserve">CGI-01</t>
  </si>
  <si>
    <t xml:space="preserve">Navigation Tome → Titre → Chapitre → Article</t>
  </si>
  <si>
    <t xml:space="preserve">Taper sur Tome 1 → Titre I (ITS) → Chapitre 1 → Article 1</t>
  </si>
  <si>
    <t xml:space="preserve">Arborescence complète parcourue, contenu article affiché</t>
  </si>
  <si>
    <t xml:space="preserve">CGI-02</t>
  </si>
  <si>
    <t xml:space="preserve">Affichage complet d'un article</t>
  </si>
  <si>
    <t xml:space="preserve">Ouvrir n'importe quel article du CGI</t>
  </si>
  <si>
    <t xml:space="preserve">Numéro, titre, texte intégral lisible</t>
  </si>
  <si>
    <t xml:space="preserve">CGI-03</t>
  </si>
  <si>
    <t xml:space="preserve">Navigation Tome 2 (TVA)</t>
  </si>
  <si>
    <t xml:space="preserve">Tome 2 → TVA → premier article</t>
  </si>
  <si>
    <t xml:space="preserve">Article TVA s'affiche avec texte complet</t>
  </si>
  <si>
    <t xml:space="preserve">CGI-04</t>
  </si>
  <si>
    <t xml:space="preserve">Navigation TFNC</t>
  </si>
  <si>
    <t xml:space="preserve">Accéder à la section TFNC</t>
  </si>
  <si>
    <t xml:space="preserve">Articles TFNC listés et accessibles</t>
  </si>
  <si>
    <t xml:space="preserve">CGI-05</t>
  </si>
  <si>
    <t xml:space="preserve">Navigation Index alphabétique</t>
  </si>
  <si>
    <t xml:space="preserve">Accéder à l'Index A-Z</t>
  </si>
  <si>
    <t xml:space="preserve">Index affiché avec renvois articles</t>
  </si>
  <si>
    <t xml:space="preserve">CGI-06</t>
  </si>
  <si>
    <t xml:space="preserve">Bouton Retour (breadcrumb)</t>
  </si>
  <si>
    <t xml:space="preserve">Naviguer 4 niveaux → cliquer Retour 4 fois</t>
  </si>
  <si>
    <t xml:space="preserve">Chaque retour remonte d'un niveau sans bug</t>
  </si>
  <si>
    <t xml:space="preserve">CGI-07</t>
  </si>
  <si>
    <t xml:space="preserve">Ajout article en Favoris</t>
  </si>
  <si>
    <t xml:space="preserve">Ouvrir un article → tapper l'étoile</t>
  </si>
  <si>
    <t xml:space="preserve">Article ajouté aux favoris, étoile devient dorée</t>
  </si>
  <si>
    <t xml:space="preserve">CGI-08</t>
  </si>
  <si>
    <t xml:space="preserve">Retrait article des Favoris</t>
  </si>
  <si>
    <t xml:space="preserve">Tapper à nouveau sur l'étoile dorée</t>
  </si>
  <si>
    <t xml:space="preserve">Article retiré des favoris</t>
  </si>
  <si>
    <t xml:space="preserve">CGI-09</t>
  </si>
  <si>
    <t xml:space="preserve">Liste des Favoris</t>
  </si>
  <si>
    <t xml:space="preserve">Aller dans Profil → Favoris</t>
  </si>
  <si>
    <t xml:space="preserve">Liste des articles mis en favoris affichée</t>
  </si>
  <si>
    <t xml:space="preserve">CGI-10</t>
  </si>
  <si>
    <t xml:space="preserve">Partage d'un article</t>
  </si>
  <si>
    <t xml:space="preserve">Ouvrir un article → bouton Partager</t>
  </si>
  <si>
    <t xml:space="preserve">Feuille de partage s'ouvre</t>
  </si>
  <si>
    <t xml:space="preserve">CGI-11</t>
  </si>
  <si>
    <t xml:space="preserve">Lecture audio (text-to-speech)</t>
  </si>
  <si>
    <t xml:space="preserve">Ouvrir un article → bouton audio</t>
  </si>
  <si>
    <t xml:space="preserve">Synthèse vocale lit le contenu en français</t>
  </si>
  <si>
    <t xml:space="preserve">CGI-12</t>
  </si>
  <si>
    <t xml:space="preserve">Mode hors-ligne</t>
  </si>
  <si>
    <t xml:space="preserve">Couper le Wi-Fi → rouvrir un article consulté</t>
  </si>
  <si>
    <t xml:space="preserve">Article s'affiche depuis le cache local</t>
  </si>
  <si>
    <t xml:space="preserve">CGI-13</t>
  </si>
  <si>
    <t xml:space="preserve">2 181+ articles présents</t>
  </si>
  <si>
    <t xml:space="preserve">Vérifier le compteur total d'articles</t>
  </si>
  <si>
    <t xml:space="preserve">Total = 2 181+ articles CGI</t>
  </si>
  <si>
    <t xml:space="preserve">RECH-01</t>
  </si>
  <si>
    <t xml:space="preserve">Recherche par numéro d'article</t>
  </si>
  <si>
    <t xml:space="preserve">Taper 'Art. 45' dans la barre de recherche</t>
  </si>
  <si>
    <t xml:space="preserve">Article 45 affiché en premier résultat</t>
  </si>
  <si>
    <t xml:space="preserve">RECH-02</t>
  </si>
  <si>
    <t xml:space="preserve">Recherche par mot-clé</t>
  </si>
  <si>
    <t xml:space="preserve">Taper 'taxe sur la valeur ajoutée'</t>
  </si>
  <si>
    <t xml:space="preserve">Articles TVA listés par pertinence</t>
  </si>
  <si>
    <t xml:space="preserve">RECH-03</t>
  </si>
  <si>
    <t xml:space="preserve">Recherche sans accent</t>
  </si>
  <si>
    <t xml:space="preserve">Taper 'impot sur le revenu' (sans accent)</t>
  </si>
  <si>
    <t xml:space="preserve">Résultats pertinents malgré l'absence d'accent</t>
  </si>
  <si>
    <t xml:space="preserve">RECH-04</t>
  </si>
  <si>
    <t xml:space="preserve">Recherche vocale</t>
  </si>
  <si>
    <t xml:space="preserve">Appuyer sur micro → dicter 'impôt sur les sociétés'</t>
  </si>
  <si>
    <t xml:space="preserve">Reconnaissance vocale, résultats IS affichés</t>
  </si>
  <si>
    <t xml:space="preserve">RECH-05</t>
  </si>
  <si>
    <t xml:space="preserve">Recherche sans résultat</t>
  </si>
  <si>
    <t xml:space="preserve">Taper une chaîne aléatoire (ex: 'zzqwerty123')</t>
  </si>
  <si>
    <t xml:space="preserve">Message 'Aucun résultat' proprement, pas de crash</t>
  </si>
  <si>
    <t xml:space="preserve">RECH-06</t>
  </si>
  <si>
    <t xml:space="preserve">Résultat → accès direct article</t>
  </si>
  <si>
    <t xml:space="preserve">Effectuer une recherche → tapper sur un résultat</t>
  </si>
  <si>
    <t xml:space="preserve">Article sélectionné s'ouvre en lecture</t>
  </si>
  <si>
    <t xml:space="preserve">SIM-01</t>
  </si>
  <si>
    <t xml:space="preserve">Simulateur ITS</t>
  </si>
  <si>
    <t xml:space="preserve">Salaire brut = 500 000 FCFA → calculer</t>
  </si>
  <si>
    <t xml:space="preserve">Résultat ITS correct avec barème, références articles citées</t>
  </si>
  <si>
    <t xml:space="preserve">SIM-02</t>
  </si>
  <si>
    <t xml:space="preserve">Simulateur IS</t>
  </si>
  <si>
    <t xml:space="preserve">Bénéfice imposable = 10 000 000 FCFA → calculer</t>
  </si>
  <si>
    <t xml:space="preserve">IS calculé selon taux en vigueur (28%)</t>
  </si>
  <si>
    <t xml:space="preserve">SIM-03</t>
  </si>
  <si>
    <t xml:space="preserve">Simulateur TVA</t>
  </si>
  <si>
    <t xml:space="preserve">Montant HT = 1 000 000 FCFA → calculer</t>
  </si>
  <si>
    <t xml:space="preserve">TVA = 180 000 FCFA (18%), TTC affiché</t>
  </si>
  <si>
    <t xml:space="preserve">SIM-04</t>
  </si>
  <si>
    <t xml:space="preserve">Simulateur Paie Congo</t>
  </si>
  <si>
    <t xml:space="preserve">Brut = 300 000 + ancienneté 5 ans → simuler</t>
  </si>
  <si>
    <t xml:space="preserve">Fiche de paie avec CNSS, ITS, TUS, net à payer</t>
  </si>
  <si>
    <t xml:space="preserve">SIM-05</t>
  </si>
  <si>
    <t xml:space="preserve">Retenue à la Source</t>
  </si>
  <si>
    <t xml:space="preserve">Honoraire = 500 000 FCFA → RAS</t>
  </si>
  <si>
    <t xml:space="preserve">RAS calculée correctement</t>
  </si>
  <si>
    <t xml:space="preserve">SIM-06</t>
  </si>
  <si>
    <t xml:space="preserve">Simulateur Patente</t>
  </si>
  <si>
    <t xml:space="preserve">Renseigner CA + activité → calculer</t>
  </si>
  <si>
    <t xml:space="preserve">Montant patente calculé selon grille</t>
  </si>
  <si>
    <t xml:space="preserve">SIM-07</t>
  </si>
  <si>
    <t xml:space="preserve">Simulateur IBA</t>
  </si>
  <si>
    <t xml:space="preserve">Renseigner revenu agricole → calculer</t>
  </si>
  <si>
    <t xml:space="preserve">IBA calculé, barème affiché</t>
  </si>
  <si>
    <t xml:space="preserve">SIM-08</t>
  </si>
  <si>
    <t xml:space="preserve">Simulateur IRCM</t>
  </si>
  <si>
    <t xml:space="preserve">Dividendes = 2 000 000 FCFA → calculer</t>
  </si>
  <si>
    <t xml:space="preserve">IRCM calculé (taux 15%)</t>
  </si>
  <si>
    <t xml:space="preserve">SIM-09</t>
  </si>
  <si>
    <t xml:space="preserve">Simulateur IRF (Loyers)</t>
  </si>
  <si>
    <t xml:space="preserve">Loyer mensuel = 200 000 FCFA → IRF</t>
  </si>
  <si>
    <t xml:space="preserve">IRF calculé avec taux 9%</t>
  </si>
  <si>
    <t xml:space="preserve">SIM-10</t>
  </si>
  <si>
    <t xml:space="preserve">Taxe Immobilière</t>
  </si>
  <si>
    <t xml:space="preserve">Valeur vénale = 30 000 000 FCFA → calculer</t>
  </si>
  <si>
    <t xml:space="preserve">Taxe calculée</t>
  </si>
  <si>
    <t xml:space="preserve">SIM-11</t>
  </si>
  <si>
    <t xml:space="preserve">Droits d'Enregistrement</t>
  </si>
  <si>
    <t xml:space="preserve">Saisir valeur de cession → calculer</t>
  </si>
  <si>
    <t xml:space="preserve">Droits calculés selon nature de l'acte</t>
  </si>
  <si>
    <t xml:space="preserve">SIM-12</t>
  </si>
  <si>
    <t xml:space="preserve">Cession de Parts Sociales</t>
  </si>
  <si>
    <t xml:space="preserve">Prix cession = 5 000 000 FCFA → calculer</t>
  </si>
  <si>
    <t xml:space="preserve">Droits de cession calculés</t>
  </si>
  <si>
    <t xml:space="preserve">SIM-13</t>
  </si>
  <si>
    <t xml:space="preserve">Contribution Foncière</t>
  </si>
  <si>
    <t xml:space="preserve">Saisir surface + localisation → calculer</t>
  </si>
  <si>
    <t xml:space="preserve">Contribution foncière calculée</t>
  </si>
  <si>
    <t xml:space="preserve">SIM-14</t>
  </si>
  <si>
    <t xml:space="preserve">Simulateur IGF</t>
  </si>
  <si>
    <t xml:space="preserve">Patrimoine net = 500 000 000 FCFA → calculer</t>
  </si>
  <si>
    <t xml:space="preserve">IGF calculé selon barème</t>
  </si>
  <si>
    <t xml:space="preserve">SIM-15</t>
  </si>
  <si>
    <t xml:space="preserve">IS Parapétrolier</t>
  </si>
  <si>
    <t xml:space="preserve">Saisir résultat fiscal → calculer</t>
  </si>
  <si>
    <t xml:space="preserve">IS parapétrolier appliqué</t>
  </si>
  <si>
    <t xml:space="preserve">SIM-16</t>
  </si>
  <si>
    <t xml:space="preserve">Solde de Liquidation</t>
  </si>
  <si>
    <t xml:space="preserve">Renseigner actifs nets → calculer</t>
  </si>
  <si>
    <t xml:space="preserve">Impôt sur solde calculé</t>
  </si>
  <si>
    <t xml:space="preserve">SIM-17</t>
  </si>
  <si>
    <t xml:space="preserve">Lien article de référence</t>
  </si>
  <si>
    <t xml:space="preserve">Après calcul, appuyer sur l'article cité</t>
  </si>
  <si>
    <t xml:space="preserve">Article CGI de référence s'ouvre</t>
  </si>
  <si>
    <t xml:space="preserve">SIM-18</t>
  </si>
  <si>
    <t xml:space="preserve">Saisie invalide (lettres dans champ num.)</t>
  </si>
  <si>
    <t xml:space="preserve">Taper 'abc' dans un champ numérique</t>
  </si>
  <si>
    <t xml:space="preserve">Message d'erreur, pas de crash</t>
  </si>
  <si>
    <t xml:space="preserve">SIM-19</t>
  </si>
  <si>
    <t xml:space="preserve">Remise à zéro simulateur</t>
  </si>
  <si>
    <t xml:space="preserve">Après calcul → Réinitialiser</t>
  </si>
  <si>
    <t xml:space="preserve">Tous les champs remis à zéro</t>
  </si>
  <si>
    <t xml:space="preserve">IA-01</t>
  </si>
  <si>
    <t xml:space="preserve">Question fiscale générale</t>
  </si>
  <si>
    <t xml:space="preserve">Taper: 'Quel est le taux d'IS au Congo ?'</t>
  </si>
  <si>
    <t xml:space="preserve">Réponse correcte avec citation article source</t>
  </si>
  <si>
    <t xml:space="preserve">IA-02</t>
  </si>
  <si>
    <t xml:space="preserve">Question sur article spécifique</t>
  </si>
  <si>
    <t xml:space="preserve">Taper: 'Que dit l'article 147 du CGI ?'</t>
  </si>
  <si>
    <t xml:space="preserve">Résumé fidèle + lien cliquable vers l'article</t>
  </si>
  <si>
    <t xml:space="preserve">IA-03</t>
  </si>
  <si>
    <t xml:space="preserve">Question sur la TVA</t>
  </si>
  <si>
    <t xml:space="preserve">Taper: 'Quelles opérations sont exonérées de TVA ?'</t>
  </si>
  <si>
    <t xml:space="preserve">Liste des exonérations TVA avec articles</t>
  </si>
  <si>
    <t xml:space="preserve">IA-04</t>
  </si>
  <si>
    <t xml:space="preserve">Question calcul ITS</t>
  </si>
  <si>
    <t xml:space="preserve">Taper: 'Comment calculer l'ITS sur 600 000 FCFA ?'</t>
  </si>
  <si>
    <t xml:space="preserve">Calcul ITS détaillé pas à pas avec barème</t>
  </si>
  <si>
    <t xml:space="preserve">IA-05</t>
  </si>
  <si>
    <t xml:space="preserve">Question hors scope</t>
  </si>
  <si>
    <t xml:space="preserve">Taper: 'Quelle est la capitale de la France ?'</t>
  </si>
  <si>
    <t xml:space="preserve">Réponse indiquant que l'IA est spécialisée CGI/Social</t>
  </si>
  <si>
    <t xml:space="preserve">IA-06</t>
  </si>
  <si>
    <t xml:space="preserve">Citation article cliquable</t>
  </si>
  <si>
    <t xml:space="preserve">Poser une question → cliquer sur l'article cité</t>
  </si>
  <si>
    <t xml:space="preserve">L'article s'ouvre dans le module Code</t>
  </si>
  <si>
    <t xml:space="preserve">IA-07</t>
  </si>
  <si>
    <t xml:space="preserve">Streaming temps réel</t>
  </si>
  <si>
    <t xml:space="preserve">Poser une question et observer l'affichage</t>
  </si>
  <si>
    <t xml:space="preserve">Réponse apparaît mot par mot</t>
  </si>
  <si>
    <t xml:space="preserve">IA-08</t>
  </si>
  <si>
    <t xml:space="preserve">Compteur de questions (quota)</t>
  </si>
  <si>
    <t xml:space="preserve">Vérifier le quota restant</t>
  </si>
  <si>
    <t xml:space="preserve">Compteur affiché (ex: 14/15 questions restantes)</t>
  </si>
  <si>
    <t xml:space="preserve">IA-09</t>
  </si>
  <si>
    <t xml:space="preserve">Quota épuisé - message upgrade</t>
  </si>
  <si>
    <t xml:space="preserve">Épuiser le quota → envoyer une question</t>
  </si>
  <si>
    <t xml:space="preserve">Message clair d'upgrade, pas de crash</t>
  </si>
  <si>
    <t xml:space="preserve">IA-10</t>
  </si>
  <si>
    <t xml:space="preserve">Historique conversations</t>
  </si>
  <si>
    <t xml:space="preserve">Poser 3 questions → vérifier l'historique</t>
  </si>
  <si>
    <t xml:space="preserve">3 conversations listées dans le panneau historique</t>
  </si>
  <si>
    <t xml:space="preserve">IA-11</t>
  </si>
  <si>
    <t xml:space="preserve">Nouvelle conversation</t>
  </si>
  <si>
    <t xml:space="preserve">Cliquer '+ Nouvelle conversation'</t>
  </si>
  <si>
    <t xml:space="preserve">Conversation vide, ancienne sauvegardée</t>
  </si>
  <si>
    <t xml:space="preserve">IA-12</t>
  </si>
  <si>
    <t xml:space="preserve">Supprimer conversation</t>
  </si>
  <si>
    <t xml:space="preserve">Cliquer supprimer sur une conversation</t>
  </si>
  <si>
    <t xml:space="preserve">Confirmation demandée, conversation supprimée</t>
  </si>
  <si>
    <t xml:space="preserve">CAL-01</t>
  </si>
  <si>
    <t xml:space="preserve">Affichage calendrier mensuel</t>
  </si>
  <si>
    <t xml:space="preserve">Ouvrir le Calendrier Fiscal</t>
  </si>
  <si>
    <t xml:space="preserve">Grille mensuelle avec navigation mois</t>
  </si>
  <si>
    <t xml:space="preserve">CAL-02</t>
  </si>
  <si>
    <t xml:space="preserve">Marqueurs obligations fiscales</t>
  </si>
  <si>
    <t xml:space="preserve">Observer les jours avec obligations</t>
  </si>
  <si>
    <t xml:space="preserve">Jours marqués en couleur avec badge compteur</t>
  </si>
  <si>
    <t xml:space="preserve">CAL-03</t>
  </si>
  <si>
    <t xml:space="preserve">Détail d'un jour</t>
  </si>
  <si>
    <t xml:space="preserve">Cliquer sur un jour avec obligation</t>
  </si>
  <si>
    <t xml:space="preserve">Panel détail avec titre, description, type</t>
  </si>
  <si>
    <t xml:space="preserve">CAL-04</t>
  </si>
  <si>
    <t xml:space="preserve">Navigation mois précédent/suivant</t>
  </si>
  <si>
    <t xml:space="preserve">Cliquer ◀ et ▶</t>
  </si>
  <si>
    <t xml:space="preserve">Mois change correctement</t>
  </si>
  <si>
    <t xml:space="preserve">PROF-01</t>
  </si>
  <si>
    <t xml:space="preserve">Affichage profil</t>
  </si>
  <si>
    <t xml:space="preserve">Aller dans Menu Plus → Profil</t>
  </si>
  <si>
    <t xml:space="preserve">Nom, prénom, email, profession affichés</t>
  </si>
  <si>
    <t xml:space="preserve">PROF-02</t>
  </si>
  <si>
    <t xml:space="preserve">Modification profil</t>
  </si>
  <si>
    <t xml:space="preserve">Modifier le prénom → Sauvegarder</t>
  </si>
  <si>
    <t xml:space="preserve">Modification enregistrée, message succès</t>
  </si>
  <si>
    <t xml:space="preserve">PROF-03</t>
  </si>
  <si>
    <t xml:space="preserve">Affichage abonnement</t>
  </si>
  <si>
    <t xml:space="preserve">Aller dans Abonnement</t>
  </si>
  <si>
    <t xml:space="preserve">Plan actuel, quota, date renouvellement affichés</t>
  </si>
  <si>
    <t xml:space="preserve">PROF-04</t>
  </si>
  <si>
    <t xml:space="preserve">Barre de quota questions</t>
  </si>
  <si>
    <t xml:space="preserve">Vérifier la barre de progression quota</t>
  </si>
  <si>
    <t xml:space="preserve">X/Y questions utilisées, barre proportionnelle</t>
  </si>
  <si>
    <t xml:space="preserve">PROF-05</t>
  </si>
  <si>
    <t xml:space="preserve">Dark mode toggle</t>
  </si>
  <si>
    <t xml:space="preserve">Paramètres → Activer dark mode</t>
  </si>
  <si>
    <t xml:space="preserve">Thème bascule en bleu marine, texte crème</t>
  </si>
  <si>
    <t xml:space="preserve">PROF-06</t>
  </si>
  <si>
    <t xml:space="preserve">Changement langue FR/EN</t>
  </si>
  <si>
    <t xml:space="preserve">Paramètres → Langue → English</t>
  </si>
  <si>
    <t xml:space="preserve">Interface passe en anglais</t>
  </si>
  <si>
    <t xml:space="preserve">PROF-07</t>
  </si>
  <si>
    <t xml:space="preserve">Pages légales accessibles</t>
  </si>
  <si>
    <t xml:space="preserve">CGU, Confidentialité, Mentions légales</t>
  </si>
  <si>
    <t xml:space="preserve">Chaque page s'affiche avec contenu complet</t>
  </si>
  <si>
    <t xml:space="preserve">FREE-01</t>
  </si>
  <si>
    <t xml:space="preserve">Accès lecture CGI gratuit</t>
  </si>
  <si>
    <t xml:space="preserve">Se connecter avec compte FREE → ouvrir un article</t>
  </si>
  <si>
    <t xml:space="preserve">Article lisible sans restriction</t>
  </si>
  <si>
    <t xml:space="preserve">FREE-02</t>
  </si>
  <si>
    <t xml:space="preserve">Limite 5 questions IA</t>
  </si>
  <si>
    <t xml:space="preserve">Poser 5 questions → tenter la 6ème</t>
  </si>
  <si>
    <t xml:space="preserve">6ème question bloquée avec message upgrade</t>
  </si>
  <si>
    <t xml:space="preserve">FREE-03</t>
  </si>
  <si>
    <t xml:space="preserve">Simulateurs verrouillés (après essai)</t>
  </si>
  <si>
    <t xml:space="preserve">Tenter d'ouvrir un simulateur après 7 jours</t>
  </si>
  <si>
    <t xml:space="preserve">Cadenas affiché, message upgrade</t>
  </si>
  <si>
    <t xml:space="preserve">FREE-04</t>
  </si>
  <si>
    <t xml:space="preserve">Paywall affiché si expiré</t>
  </si>
  <si>
    <t xml:space="preserve">Se connecter avec abonnement expiré</t>
  </si>
  <si>
    <t xml:space="preserve">Écran paywall avec plans et tarifs</t>
  </si>
  <si>
    <t xml:space="preserve">PERF-01</t>
  </si>
  <si>
    <t xml:space="preserve">Temps de chargement initial</t>
  </si>
  <si>
    <t xml:space="preserve">Ouvrir l'app pour la première fois → mesurer</t>
  </si>
  <si>
    <t xml:space="preserve">Écran fonctionnel en moins de 3 secondes</t>
  </si>
  <si>
    <t xml:space="preserve">PERF-02</t>
  </si>
  <si>
    <t xml:space="preserve">Temps de recherche</t>
  </si>
  <si>
    <t xml:space="preserve">Effectuer une recherche → mesurer</t>
  </si>
  <si>
    <t xml:space="preserve">Résultats en moins de 500ms</t>
  </si>
  <si>
    <t xml:space="preserve">PERF-03</t>
  </si>
  <si>
    <t xml:space="preserve">Temps réponse IA</t>
  </si>
  <si>
    <t xml:space="preserve">Poser une question → mesurer le premier mot</t>
  </si>
  <si>
    <t xml:space="preserve">Premier mot en moins de 3 secondes</t>
  </si>
  <si>
    <t xml:space="preserve">PERF-04</t>
  </si>
  <si>
    <t xml:space="preserve">Pas de crash après 10 min d'usage</t>
  </si>
  <si>
    <t xml:space="preserve">Utiliser l'app pendant 10 minutes</t>
  </si>
  <si>
    <t xml:space="preserve">Aucun crash, aucun freeze</t>
  </si>
  <si>
    <t xml:space="preserve">PERF-05</t>
  </si>
  <si>
    <t xml:space="preserve">Mémoire stable</t>
  </si>
  <si>
    <t xml:space="preserve">Naviguer entre les modules pendant 5 min</t>
  </si>
  <si>
    <t xml:space="preserve">Pas de fuite mémoire visible</t>
  </si>
  <si>
    <t xml:space="preserve">PERF-06</t>
  </si>
  <si>
    <t xml:space="preserve">Réseau lent (3G)</t>
  </si>
  <si>
    <t xml:space="preserve">Simuler réseau lent → utiliser l'app</t>
  </si>
  <si>
    <t xml:space="preserve">App utilisable, messages de chargement clairs</t>
  </si>
  <si>
    <t xml:space="preserve">PERF-SOC-01</t>
  </si>
  <si>
    <t xml:space="preserve">Temps chargement sommaire social</t>
  </si>
  <si>
    <t xml:space="preserve">Ouvrir le Code Social → mesurer</t>
  </si>
  <si>
    <t xml:space="preserve">Sommaire affiché en moins de 3 secondes (63 fichiers)</t>
  </si>
  <si>
    <t xml:space="preserve">PERF-SOC-02</t>
  </si>
  <si>
    <t xml:space="preserve">Recherche IA sociale temps de réponse</t>
  </si>
  <si>
    <t xml:space="preserve">Poser une question sociale → mesurer</t>
  </si>
  <si>
    <t xml:space="preserve">Début de streaming en moins de 5 secondes</t>
  </si>
  <si>
    <t xml:space="preserve">UX-01</t>
  </si>
  <si>
    <t xml:space="preserve">Affichage responsive mobile</t>
  </si>
  <si>
    <t xml:space="preserve">Ouvrir sur smartphone (375px)</t>
  </si>
  <si>
    <t xml:space="preserve">Interface adaptée, pas de scroll horizontal</t>
  </si>
  <si>
    <t xml:space="preserve">UX-02</t>
  </si>
  <si>
    <t xml:space="preserve">Tab bar navigation</t>
  </si>
  <si>
    <t xml:space="preserve">Tapper chaque onglet de la tab bar</t>
  </si>
  <si>
    <t xml:space="preserve">6 onglets fonctionnels (Home, Code, Sim, Cal, Chat, +)</t>
  </si>
  <si>
    <t xml:space="preserve">UX-03</t>
  </si>
  <si>
    <t xml:space="preserve">Taille des boutons tactiles</t>
  </si>
  <si>
    <t xml:space="preserve">Tapper les boutons sur mobile</t>
  </si>
  <si>
    <t xml:space="preserve">Tous les boutons facilement cliquables (&gt;44px)</t>
  </si>
  <si>
    <t xml:space="preserve">UX-04</t>
  </si>
  <si>
    <t xml:space="preserve">Clavier numérique simulateurs</t>
  </si>
  <si>
    <t xml:space="preserve">Tapper dans un champ montant sur mobile</t>
  </si>
  <si>
    <t xml:space="preserve">Clavier numérique s'ouvre (pas alphabétique)</t>
  </si>
  <si>
    <t xml:space="preserve">UX-05</t>
  </si>
  <si>
    <t xml:space="preserve">Rotation écran</t>
  </si>
  <si>
    <t xml:space="preserve">Tourner le téléphone en paysage</t>
  </si>
  <si>
    <t xml:space="preserve">Interface s'adapte sans bug</t>
  </si>
  <si>
    <t xml:space="preserve">UX-06</t>
  </si>
  <si>
    <t xml:space="preserve">Affichage tablet</t>
  </si>
  <si>
    <t xml:space="preserve">Ouvrir sur tablette (768px)</t>
  </si>
  <si>
    <t xml:space="preserve">Layout adapté, sidebar visible</t>
  </si>
  <si>
    <t xml:space="preserve">SOC-01</t>
  </si>
  <si>
    <t xml:space="preserve">Navigation Livre 1 → Code du travail → Article</t>
  </si>
  <si>
    <t xml:space="preserve">Sélecteur Code Social → Livre 1 → 1.1 Code du travail → Titre 1 → Art. 1</t>
  </si>
  <si>
    <t xml:space="preserve">Article 1 du Code du travail affiché avec contenu</t>
  </si>
  <si>
    <t xml:space="preserve">SOC-02</t>
  </si>
  <si>
    <t xml:space="preserve">Navigation Livre 2 → Sécurité sociale → Art. 145</t>
  </si>
  <si>
    <t xml:space="preserve">Livre 2 → 2.1 Code sécu → Pensions → Art. 145</t>
  </si>
  <si>
    <t xml:space="preserve">Art. 145 affiché (pension vieillesse 55 ans)</t>
  </si>
  <si>
    <t xml:space="preserve">SOC-03</t>
  </si>
  <si>
    <t xml:space="preserve">Navigation Livre 3 → Convention BTP</t>
  </si>
  <si>
    <t xml:space="preserve">Livre 3 → 3.1 Conventions → BTP → Articles</t>
  </si>
  <si>
    <t xml:space="preserve">Articles convention BTP affichés</t>
  </si>
  <si>
    <t xml:space="preserve">SOC-04</t>
  </si>
  <si>
    <t xml:space="preserve">Sélecteur de code : basculer CGI ↔ Social</t>
  </si>
  <si>
    <t xml:space="preserve">Cliquer sélecteur → Code Social → puis CGI</t>
  </si>
  <si>
    <t xml:space="preserve">Sommaire change correctement à chaque bascule</t>
  </si>
  <si>
    <t xml:space="preserve">SOC-05</t>
  </si>
  <si>
    <t xml:space="preserve">Vérifier structure 3 Livres</t>
  </si>
  <si>
    <t xml:space="preserve">Ouvrir Code Social → observer sommaire</t>
  </si>
  <si>
    <t xml:space="preserve">Livre 1 (Travail), Livre 2 (Sécu sociale), Livre 3 (Conventions)</t>
  </si>
  <si>
    <t xml:space="preserve">SOC-06</t>
  </si>
  <si>
    <t xml:space="preserve">Textes d'application</t>
  </si>
  <si>
    <t xml:space="preserve">Livre 1 → 1.2 → SMIG (Art. 83)</t>
  </si>
  <si>
    <t xml:space="preserve">Contenu arrêté SMIG affiché</t>
  </si>
  <si>
    <t xml:space="preserve">SOC-07</t>
  </si>
  <si>
    <t xml:space="preserve">Textes non codifiés</t>
  </si>
  <si>
    <t xml:space="preserve">Livre 1 → 1.3 → Jours fériés</t>
  </si>
  <si>
    <t xml:space="preserve">Liste jours fériés (1er janv, Pâques, 1er mai...)</t>
  </si>
  <si>
    <t xml:space="preserve">SOC-08</t>
  </si>
  <si>
    <t xml:space="preserve">63 fichiers chargés sans erreur</t>
  </si>
  <si>
    <t xml:space="preserve">Vérifier console, naviguer dans tous les Livres</t>
  </si>
  <si>
    <t xml:space="preserve">Aucune erreur, tous les nœuds cliquables</t>
  </si>
  <si>
    <t xml:space="preserve">RECH-SOC-01</t>
  </si>
  <si>
    <t xml:space="preserve">Rechercher 'licenciement'</t>
  </si>
  <si>
    <t xml:space="preserve">Code Social → taper 'licenciement'</t>
  </si>
  <si>
    <t xml:space="preserve">Articles Code du travail sur le licenciement</t>
  </si>
  <si>
    <t xml:space="preserve">RECH-SOC-02</t>
  </si>
  <si>
    <t xml:space="preserve">Rechercher 'cotisation CNSS'</t>
  </si>
  <si>
    <t xml:space="preserve">Taper 'cotisation CNSS'</t>
  </si>
  <si>
    <t xml:space="preserve">Articles sécu sociale sur les cotisations</t>
  </si>
  <si>
    <t xml:space="preserve">RECH-SOC-03</t>
  </si>
  <si>
    <t xml:space="preserve">Rechercher 'convention BTP'</t>
  </si>
  <si>
    <t xml:space="preserve">Taper 'convention collective BTP'</t>
  </si>
  <si>
    <t xml:space="preserve">Convention BTP dans les résultats</t>
  </si>
  <si>
    <t xml:space="preserve">IA-SOC-01</t>
  </si>
  <si>
    <t xml:space="preserve">Âge de retraite au Congo</t>
  </si>
  <si>
    <t xml:space="preserve">Taper: 'Quel est l'âge de retraite au Congo ?'</t>
  </si>
  <si>
    <t xml:space="preserve">Loi 48-2024 citée (60/63/65/70 ans par catégorie)</t>
  </si>
  <si>
    <t xml:space="preserve">IA-SOC-02</t>
  </si>
  <si>
    <t xml:space="preserve">Cotisations CNSS employeur</t>
  </si>
  <si>
    <t xml:space="preserve">Taper: 'Cotisations CNSS employeur ?'</t>
  </si>
  <si>
    <t xml:space="preserve">Taux détaillés (PF 10.03%, RP 2.25%, Pensions 8%...)</t>
  </si>
  <si>
    <t xml:space="preserve">IA-SOC-03</t>
  </si>
  <si>
    <t xml:space="preserve">Durée du préavis</t>
  </si>
  <si>
    <t xml:space="preserve">Taper: 'Durée du préavis licenciement ?'</t>
  </si>
  <si>
    <t xml:space="preserve">Code du travail cité avec conditions</t>
  </si>
  <si>
    <t xml:space="preserve">IA-SOC-04</t>
  </si>
  <si>
    <t xml:space="preserve">Jours fériés Congo</t>
  </si>
  <si>
    <t xml:space="preserve">Taper: 'Jours fériés au Congo ?'</t>
  </si>
  <si>
    <t xml:space="preserve">Liste complète + Loi 1994-02 citée</t>
  </si>
  <si>
    <t xml:space="preserve">IA-SOC-05</t>
  </si>
  <si>
    <t xml:space="preserve">Calcul pension vieillesse</t>
  </si>
  <si>
    <t xml:space="preserve">Taper: 'Comment calculer la pension de vieillesse ?'</t>
  </si>
  <si>
    <t xml:space="preserve">Art. 150 CSS cité (40% + 2% par an au-delà 240 mois)</t>
  </si>
  <si>
    <t xml:space="preserve">IA-SOC-06</t>
  </si>
  <si>
    <t xml:space="preserve">Accident du travail</t>
  </si>
  <si>
    <t xml:space="preserve">Taper: 'Que faire en cas d'accident du travail ?'</t>
  </si>
  <si>
    <t xml:space="preserve">Procédure 48h + prestations + références articles</t>
  </si>
  <si>
    <t xml:space="preserve">IA-SOC-07</t>
  </si>
  <si>
    <t xml:space="preserve">Routing auto CGI ↔ Social</t>
  </si>
  <si>
    <t xml:space="preserve">Question fiscale (TVA) puis sociale (licenciement)</t>
  </si>
  <si>
    <t xml:space="preserve">L'IA route automatiquement vers le bon contexte</t>
  </si>
  <si>
    <t xml:space="preserve">AUDIT-01</t>
  </si>
  <si>
    <t xml:space="preserve">Upload facture PDF</t>
  </si>
  <si>
    <t xml:space="preserve">Audit Facture → Sélectionner Facture → Uploader PDF</t>
  </si>
  <si>
    <t xml:space="preserve">Fichier accepté, bouton Analyser activé</t>
  </si>
  <si>
    <t xml:space="preserve">AUDIT-02</t>
  </si>
  <si>
    <t xml:space="preserve">Analyse de conformité</t>
  </si>
  <si>
    <t xml:space="preserve">Uploader facture → cliquer Analyser</t>
  </si>
  <si>
    <t xml:space="preserve">Score conformité + mentions obligatoires vérifiées</t>
  </si>
  <si>
    <t xml:space="preserve">AUDIT-03</t>
  </si>
  <si>
    <t xml:space="preserve">Résultats détaillés</t>
  </si>
  <si>
    <t xml:space="preserve">Après analyse → vérifier résultats</t>
  </si>
  <si>
    <t xml:space="preserve">Score, langue, TVA, mentions Art. 32, risques, recommandations</t>
  </si>
  <si>
    <t xml:space="preserve">AUDIT-04</t>
  </si>
  <si>
    <t xml:space="preserve">Historique des audits</t>
  </si>
  <si>
    <t xml:space="preserve">Effectuer 2 audits → vérifier historique</t>
  </si>
  <si>
    <t xml:space="preserve">Les 2 audits avec date, type et score</t>
  </si>
  <si>
    <t xml:space="preserve">AUDIT-05</t>
  </si>
  <si>
    <t xml:space="preserve">Fichier trop lourd (&gt;10MB)</t>
  </si>
  <si>
    <t xml:space="preserve">Uploader un fichier &gt;10MB</t>
  </si>
  <si>
    <t xml:space="preserve">Message d'erreur clair, pas de crash</t>
  </si>
  <si>
    <t xml:space="preserve">ORG-01</t>
  </si>
  <si>
    <t xml:space="preserve">Créer une organisation</t>
  </si>
  <si>
    <t xml:space="preserve">Menu Plus → Organisation → Créer → Nom</t>
  </si>
  <si>
    <t xml:space="preserve">Organisation créée, membre OWNER affiché</t>
  </si>
  <si>
    <t xml:space="preserve">ORG-02</t>
  </si>
  <si>
    <t xml:space="preserve">Inviter un membre</t>
  </si>
  <si>
    <t xml:space="preserve">Organisation → Inviter → Email + rôle MEMBER</t>
  </si>
  <si>
    <t xml:space="preserve">Invitation envoyée, en attente affichée</t>
  </si>
  <si>
    <t xml:space="preserve">ORG-03</t>
  </si>
  <si>
    <t xml:space="preserve">Changer rôle d'un membre</t>
  </si>
  <si>
    <t xml:space="preserve">Menu ⋮ → Changer rôle → ADMIN</t>
  </si>
  <si>
    <t xml:space="preserve">Rôle mis à jour</t>
  </si>
  <si>
    <t xml:space="preserve">ORG-04</t>
  </si>
  <si>
    <t xml:space="preserve">Supprimer un membre</t>
  </si>
  <si>
    <t xml:space="preserve">Menu ⋮ → Retirer → Confirmer</t>
  </si>
  <si>
    <t xml:space="preserve">Membre retiré de la liste</t>
  </si>
  <si>
    <t xml:space="preserve">Sécurité 2FA</t>
  </si>
  <si>
    <t xml:space="preserve">2FA-01</t>
  </si>
  <si>
    <t xml:space="preserve">Activer la 2FA</t>
  </si>
  <si>
    <t xml:space="preserve">Paramètres → Sécurité → Activer → Scanner QR</t>
  </si>
  <si>
    <t xml:space="preserve">QR code affiché, codes backup, 2FA activée</t>
  </si>
  <si>
    <t xml:space="preserve">2FA-02</t>
  </si>
  <si>
    <t xml:space="preserve">Connexion avec 2FA</t>
  </si>
  <si>
    <t xml:space="preserve">Déconnexion → Reconnecter → Code 2FA</t>
  </si>
  <si>
    <t xml:space="preserve">Accès après code correct</t>
  </si>
  <si>
    <t xml:space="preserve">2FA-03</t>
  </si>
  <si>
    <t xml:space="preserve">Code 2FA incorrect</t>
  </si>
  <si>
    <t xml:space="preserve">Saisir code erroné</t>
  </si>
  <si>
    <t xml:space="preserve">Message erreur, accès refusé</t>
  </si>
  <si>
    <t xml:space="preserve">KC-01</t>
  </si>
  <si>
    <t xml:space="preserve">OTP obligatoire au login</t>
  </si>
  <si>
    <t xml:space="preserve">Se connecter → Keycloak demande le code OTP</t>
  </si>
  <si>
    <t xml:space="preserve">Code OTP par email requis, login impossible sans</t>
  </si>
  <si>
    <t xml:space="preserve">KC-02</t>
  </si>
  <si>
    <t xml:space="preserve">SSO entre Tax et Legal</t>
  </si>
  <si>
    <t xml:space="preserve">Se connecter sur tax.normx-ai.com → ouvrir legal.normx-ai.com</t>
  </si>
  <si>
    <t xml:space="preserve">Déjà connecté sur Legal sans re-login (même session Keycloak)</t>
  </si>
  <si>
    <t xml:space="preserve">KC-03</t>
  </si>
  <si>
    <t xml:space="preserve">Refresh token automatique</t>
  </si>
  <si>
    <t xml:space="preserve">Rester connecté &gt; 5 min sans activité</t>
  </si>
  <si>
    <t xml:space="preserve">Token rafraîchi automatiquement, pas de déconnexion</t>
  </si>
  <si>
    <t xml:space="preserve">KC-04</t>
  </si>
  <si>
    <t xml:space="preserve">Token expiré → refresh</t>
  </si>
  <si>
    <t xml:space="preserve">Attendre expiration du access token</t>
  </si>
  <si>
    <t xml:space="preserve">Refresh token utilisé pour obtenir un nouveau access token</t>
  </si>
  <si>
    <t xml:space="preserve">KC-05</t>
  </si>
  <si>
    <t xml:space="preserve">Validation JWKS côté serveur</t>
  </si>
  <si>
    <t xml:space="preserve">Envoyer une requête API avec un token invalide</t>
  </si>
  <si>
    <t xml:space="preserve">401 rejeté, validation via JWKS de auth.normx-ai.com</t>
  </si>
  <si>
    <t xml:space="preserve">ISO-01</t>
  </si>
  <si>
    <t xml:space="preserve">Création schema par utilisateur</t>
  </si>
  <si>
    <t xml:space="preserve">Nouveau user se connecte pour la première fois</t>
  </si>
  <si>
    <t xml:space="preserve">Schema PostgreSQL créé automatiquement (user_&lt;keycloak_id&gt;)</t>
  </si>
  <si>
    <t xml:space="preserve">ISO-02</t>
  </si>
  <si>
    <t xml:space="preserve">Isolation conversations entre users</t>
  </si>
  <si>
    <t xml:space="preserve">User A crée une conversation IA → User B se connecte</t>
  </si>
  <si>
    <t xml:space="preserve">User B ne voit pas les conversations de User A</t>
  </si>
  <si>
    <t xml:space="preserve">ISO-03</t>
  </si>
  <si>
    <t xml:space="preserve">Isolation historique recherche</t>
  </si>
  <si>
    <t xml:space="preserve">User A fait des recherches → User B se connecte</t>
  </si>
  <si>
    <t xml:space="preserve">User B ne voit pas l'historique de recherche de User A</t>
  </si>
  <si>
    <t xml:space="preserve">ISO-04</t>
  </si>
  <si>
    <t xml:space="preserve">Isolation alertes fiscales</t>
  </si>
  <si>
    <t xml:space="preserve">User A a des alertes → User B se connecte</t>
  </si>
  <si>
    <t xml:space="preserve">User B ne voit pas les alertes de User A</t>
  </si>
  <si>
    <t xml:space="preserve">ISO-05</t>
  </si>
  <si>
    <t xml:space="preserve">Audit log par schema</t>
  </si>
  <si>
    <t xml:space="preserve">Effectuer des actions → vérifier audit_log</t>
  </si>
  <si>
    <t xml:space="preserve">Actions tracées dans le schema de l'utilisateur uniquement</t>
  </si>
  <si>
    <t xml:space="preserve">LAND-01</t>
  </si>
  <si>
    <t xml:space="preserve">Affichage landing Pennylane</t>
  </si>
  <si>
    <t xml:space="preserve">Accéder à tax.normx-ai.com sans être connecté</t>
  </si>
  <si>
    <t xml:space="preserve">Landing page style Pennylane avec hero, features, CTA</t>
  </si>
  <si>
    <t xml:space="preserve">LAND-02</t>
  </si>
  <si>
    <t xml:space="preserve">Bouton Connexion → Keycloak</t>
  </si>
  <si>
    <t xml:space="preserve">Cliquer 'Se connecter' sur la landing</t>
  </si>
  <si>
    <t xml:space="preserve">Redirection vers auth.normx-ai.com/realms/normx-ai</t>
  </si>
  <si>
    <t xml:space="preserve">LAND-03</t>
  </si>
  <si>
    <t xml:space="preserve">Responsive mobile landing</t>
  </si>
  <si>
    <t xml:space="preserve">Ouvrir tax.normx-ai.com sur mobile</t>
  </si>
  <si>
    <t xml:space="preserve">Landing adaptée mobile, pas de scroll horizontal</t>
  </si>
  <si>
    <t xml:space="preserve">LAND-04</t>
  </si>
  <si>
    <t xml:space="preserve">Footer bleu marine</t>
  </si>
  <si>
    <t xml:space="preserve">Scroller en bas de la landing</t>
  </si>
  <si>
    <t xml:space="preserve">Footer fond bleu marine (#1A3A5C), texte blanc</t>
  </si>
  <si>
    <t xml:space="preserve">LAND-05</t>
  </si>
  <si>
    <t xml:space="preserve">Liens CGU/mentions/confidentialité</t>
  </si>
  <si>
    <t xml:space="preserve">Cliquer les liens légaux dans le footer</t>
  </si>
  <si>
    <t xml:space="preserve">Pages légales accessibles (normx-ai.com ou in-app)</t>
  </si>
  <si>
    <t xml:space="preserve">DASH-01</t>
  </si>
  <si>
    <t xml:space="preserve">Stats bar bleu marine/or</t>
  </si>
  <si>
    <t xml:space="preserve">Se connecter → observer la barre de stats</t>
  </si>
  <si>
    <t xml:space="preserve">Barre avec stats (articles, simulateurs, IA) en bleu marine/or</t>
  </si>
  <si>
    <t xml:space="preserve">DASH-02</t>
  </si>
  <si>
    <t xml:space="preserve">Actions rapides 2x2</t>
  </si>
  <si>
    <t xml:space="preserve">Observer les actions rapides sur le dashboard</t>
  </si>
  <si>
    <t xml:space="preserve">4 actions rapides en grille 2x2 en premier</t>
  </si>
  <si>
    <t xml:space="preserve">DASH-03</t>
  </si>
  <si>
    <t xml:space="preserve">Thème cohérent or/bleu</t>
  </si>
  <si>
    <t xml:space="preserve">Naviguer dans l'application</t>
  </si>
  <si>
    <t xml:space="preserve">Couleurs uniformes : or (#D4A843), bleu marine (#1A3A5C)</t>
  </si>
  <si>
    <t xml:space="preserve">NORMX Tax 2026 — Registre des Bugs &amp; Besoins d'Évolution</t>
  </si>
  <si>
    <t xml:space="preserve">Consignez ici tous les bugs détectés et besoins d'amélioration identifiés pendant les tests</t>
  </si>
  <si>
    <t xml:space="preserve">#</t>
  </si>
  <si>
    <t xml:space="preserve">ID Test</t>
  </si>
  <si>
    <t xml:space="preserve">Description du problème</t>
  </si>
  <si>
    <t xml:space="preserve">Comportement observé / Détail</t>
  </si>
  <si>
    <t xml:space="preserve">Type</t>
  </si>
  <si>
    <t xml:space="preserve">Priorité</t>
  </si>
  <si>
    <t xml:space="preserve">Statut résolution</t>
  </si>
  <si>
    <t xml:space="preserve">Date détection</t>
  </si>
  <si>
    <t xml:space="preserve">NORMX Tax 2026 — Guide d'utilisation du fichier de tests</t>
  </si>
  <si>
    <t xml:space="preserve">🎯  COMMENT UTILISER CE FICHIER</t>
  </si>
  <si>
    <t xml:space="preserve">1. Aller dans la feuille '🧪 Tests'</t>
  </si>
  <si>
    <t xml:space="preserve">C'est ici que vous exécutez les tests un par un</t>
  </si>
  <si>
    <t xml:space="preserve">2. Lire les colonnes D et E</t>
  </si>
  <si>
    <t xml:space="preserve">Actions à effectuer et résultat attendu</t>
  </si>
  <si>
    <t xml:space="preserve">3. Changer le STATUT (colonne G)</t>
  </si>
  <si>
    <t xml:space="preserve">Cliquer → choisir dans la liste déroulante</t>
  </si>
  <si>
    <t xml:space="preserve">4. Remplir la date de test (colonne H)</t>
  </si>
  <si>
    <t xml:space="preserve">Date d'exécution du test</t>
  </si>
  <si>
    <t xml:space="preserve">5. Écrire les bugs (colonne I)</t>
  </si>
  <si>
    <t xml:space="preserve">Décrivez le problème si FAIL ou PARTIEL</t>
  </si>
  <si>
    <t xml:space="preserve">6. Écrire les évolutions (colonne J)</t>
  </si>
  <si>
    <t xml:space="preserve">Idée d'amélioration ou fonctionnalité manquante</t>
  </si>
  <si>
    <t xml:space="preserve">7. Consulter le Tableau de Bord</t>
  </si>
  <si>
    <t xml:space="preserve">Se met à jour automatiquement</t>
  </si>
  <si>
    <t xml:space="preserve">8. Reporter les bugs dans '🐛 Bugs'</t>
  </si>
  <si>
    <t xml:space="preserve">Registre dédié avec priorités</t>
  </si>
  <si>
    <t xml:space="preserve">📊  TABLEAU DE BORD</t>
  </si>
  <si>
    <t xml:space="preserve">Mise à jour automatique</t>
  </si>
  <si>
    <t xml:space="preserve">Compteurs PASS/FAIL/PARTIEL en temps réel</t>
  </si>
  <si>
    <t xml:space="preserve">PASS + PARTIEL × 50%</t>
  </si>
  <si>
    <t xml:space="preserve">17 modules</t>
  </si>
  <si>
    <t xml:space="preserve">11 fiscaux + 6 sociaux</t>
  </si>
  <si>
    <t xml:space="preserve">🔵  CODES PRIORITÉ</t>
  </si>
  <si>
    <t xml:space="preserve">À tester en PREMIER — bloque la production si FAIL</t>
  </si>
  <si>
    <t xml:space="preserve">À tester avant la mise en production</t>
  </si>
  <si>
    <t xml:space="preserve">Tests complets</t>
  </si>
  <si>
    <t xml:space="preserve">BASSE</t>
  </si>
  <si>
    <t xml:space="preserve">Peut être testé après la production</t>
  </si>
  <si>
    <t xml:space="preserve">Tous résolus avant lancement</t>
  </si>
</sst>
</file>

<file path=xl/styles.xml><?xml version="1.0" encoding="utf-8"?>
<styleSheet xmlns="http://schemas.openxmlformats.org/spreadsheetml/2006/main">
  <numFmts count="1">
    <numFmt numFmtId="164" formatCode="General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Calibri"/>
      <family val="0"/>
      <charset val="1"/>
    </font>
    <font>
      <sz val="10"/>
      <color rgb="FF8A9BB0"/>
      <name val="Calibri"/>
      <family val="0"/>
      <charset val="1"/>
    </font>
    <font>
      <b val="true"/>
      <sz val="10"/>
      <color rgb="FFFFFFFF"/>
      <name val="Calibri"/>
      <family val="0"/>
      <charset val="1"/>
    </font>
    <font>
      <b val="true"/>
      <sz val="10"/>
      <color rgb="FF1A3A5C"/>
      <name val="Calibri"/>
      <family val="0"/>
      <charset val="1"/>
    </font>
    <font>
      <b val="true"/>
      <sz val="10"/>
      <color rgb="FF2471A3"/>
      <name val="Calibri"/>
      <family val="0"/>
      <charset val="1"/>
    </font>
    <font>
      <sz val="10"/>
      <color rgb="FF1F2937"/>
      <name val="Calibri"/>
      <family val="0"/>
      <charset val="1"/>
    </font>
    <font>
      <b val="true"/>
      <sz val="11"/>
      <color rgb="FFFFFFFF"/>
      <name val="Calibri"/>
      <family val="0"/>
      <charset val="1"/>
    </font>
    <font>
      <sz val="9"/>
      <color rgb="FF1F2937"/>
      <name val="Calibri"/>
      <family val="0"/>
      <charset val="1"/>
    </font>
    <font>
      <sz val="9"/>
      <color rgb="FF6B7280"/>
      <name val="Calibri"/>
      <family val="0"/>
      <charset val="1"/>
    </font>
    <font>
      <b val="true"/>
      <sz val="9"/>
      <color rgb="FFB91C1C"/>
      <name val="Calibri"/>
      <family val="0"/>
      <charset val="1"/>
    </font>
    <font>
      <b val="true"/>
      <sz val="9"/>
      <color rgb="FF92400E"/>
      <name val="Calibri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1A3A5C"/>
        <bgColor rgb="FF1F2937"/>
      </patternFill>
    </fill>
    <fill>
      <patternFill patternType="solid">
        <fgColor rgb="FFD4A843"/>
        <bgColor rgb="FFFFCC00"/>
      </patternFill>
    </fill>
    <fill>
      <patternFill patternType="solid">
        <fgColor rgb="FFFFFFFF"/>
        <bgColor rgb="FFF3F4F6"/>
      </patternFill>
    </fill>
    <fill>
      <patternFill patternType="solid">
        <fgColor rgb="FFF3F4F6"/>
        <bgColor rgb="FFEBF5FB"/>
      </patternFill>
    </fill>
    <fill>
      <patternFill patternType="solid">
        <fgColor rgb="FFEBF5FB"/>
        <bgColor rgb="FFF3F4F6"/>
      </patternFill>
    </fill>
    <fill>
      <patternFill patternType="solid">
        <fgColor rgb="FFFEE2E2"/>
        <bgColor rgb="FFE5E7EB"/>
      </patternFill>
    </fill>
    <fill>
      <patternFill patternType="solid">
        <fgColor rgb="FFFEF3C7"/>
        <bgColor rgb="FFFEE2E2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6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 patternType="solid">
          <fgColor rgb="FF1A3A5C"/>
          <bgColor rgb="FF000000"/>
        </patternFill>
      </fill>
    </dxf>
    <dxf>
      <fill>
        <patternFill patternType="solid">
          <fgColor rgb="FFD4A843"/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B91C1C"/>
      <rgbColor rgb="FFFEF3C7"/>
      <rgbColor rgb="FFEBF5FB"/>
      <rgbColor rgb="FF660066"/>
      <rgbColor rgb="FFFF8080"/>
      <rgbColor rgb="FF2471A3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3F4F6"/>
      <rgbColor rgb="FFE5E7EB"/>
      <rgbColor rgb="FFFFFF99"/>
      <rgbColor rgb="FF99CCFF"/>
      <rgbColor rgb="FFFF99CC"/>
      <rgbColor rgb="FFCC99FF"/>
      <rgbColor rgb="FFFEE2E2"/>
      <rgbColor rgb="FF3B82F6"/>
      <rgbColor rgb="FF33CCCC"/>
      <rgbColor rgb="FF99CC00"/>
      <rgbColor rgb="FFFFCC00"/>
      <rgbColor rgb="FFD4A843"/>
      <rgbColor rgb="FFEF4444"/>
      <rgbColor rgb="FF6B7280"/>
      <rgbColor rgb="FF8A9BB0"/>
      <rgbColor rgb="FF1A3A5C"/>
      <rgbColor rgb="FF339966"/>
      <rgbColor rgb="FF003300"/>
      <rgbColor rgb="FF333300"/>
      <rgbColor rgb="FF92400E"/>
      <rgbColor rgb="FF993366"/>
      <rgbColor rgb="FF333399"/>
      <rgbColor rgb="FF1F293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A3A5C"/>
    <pageSetUpPr fitToPage="false"/>
  </sheetPr>
  <dimension ref="A1:I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6"/>
    <col collapsed="false" customWidth="true" hidden="false" outlineLevel="0" max="3" min="3" style="0" width="12"/>
    <col collapsed="false" customWidth="true" hidden="false" outlineLevel="0" max="5" min="4" style="0" width="10"/>
    <col collapsed="false" customWidth="true" hidden="false" outlineLevel="0" max="7" min="6" style="0" width="12"/>
    <col collapsed="false" customWidth="true" hidden="false" outlineLevel="0" max="8" min="8" style="0" width="14"/>
    <col collapsed="false" customWidth="true" hidden="false" outlineLevel="0" max="9" min="9" style="0" width="22"/>
  </cols>
  <sheetData>
    <row r="1" customFormat="false" ht="39.7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</row>
    <row r="2" customFormat="false" ht="15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</row>
    <row r="3" customFormat="false" ht="7.5" hidden="false" customHeight="true" outlineLevel="0" collapsed="false"/>
    <row r="4" customFormat="false" ht="15" hidden="false" customHeight="false" outlineLevel="0" collapsed="false">
      <c r="A4" s="3" t="s">
        <v>2</v>
      </c>
      <c r="B4" s="3"/>
      <c r="C4" s="3" t="s">
        <v>3</v>
      </c>
      <c r="D4" s="3" t="s">
        <v>4</v>
      </c>
      <c r="E4" s="3" t="s">
        <v>5</v>
      </c>
      <c r="F4" s="3" t="s">
        <v>6</v>
      </c>
      <c r="G4" s="3" t="s">
        <v>7</v>
      </c>
      <c r="H4" s="3" t="s">
        <v>8</v>
      </c>
      <c r="I4" s="3" t="s">
        <v>9</v>
      </c>
    </row>
    <row r="5" customFormat="false" ht="15" hidden="false" customHeight="false" outlineLevel="0" collapsed="false">
      <c r="A5" s="4" t="s">
        <v>10</v>
      </c>
      <c r="B5" s="4" t="s">
        <v>11</v>
      </c>
      <c r="C5" s="5" t="n">
        <v>6</v>
      </c>
      <c r="D5" s="5" t="n">
        <f aca="false">COUNTIFS('🧪 Tests'!A:A,I5,'🧪 Tests'!G:G,"✅ PASS")</f>
        <v>5</v>
      </c>
      <c r="E5" s="5" t="n">
        <f aca="false">COUNTIFS('🧪 Tests'!A:A,I5,'🧪 Tests'!G:G,"❌ FAIL")</f>
        <v>0</v>
      </c>
      <c r="F5" s="5" t="n">
        <f aca="false">COUNTIFS('🧪 Tests'!A:A,I5,'🧪 Tests'!G:G,"⚠️ PARTIEL")</f>
        <v>1</v>
      </c>
      <c r="G5" s="5" t="n">
        <f aca="false">COUNTIFS('🧪 Tests'!A:A,I5,'🧪 Tests'!G:G,"☐ À tester")</f>
        <v>0</v>
      </c>
      <c r="H5" s="5" t="str">
        <f aca="false">IF(C5&gt;0,ROUND((D5+F5*0.5)/C5*100,1)&amp;"%","0%")</f>
        <v>91,7%</v>
      </c>
      <c r="I5" s="4" t="s">
        <v>12</v>
      </c>
    </row>
    <row r="6" customFormat="false" ht="15" hidden="false" customHeight="false" outlineLevel="0" collapsed="false">
      <c r="A6" s="6" t="s">
        <v>13</v>
      </c>
      <c r="B6" s="6" t="s">
        <v>14</v>
      </c>
      <c r="C6" s="7" t="n">
        <v>4</v>
      </c>
      <c r="D6" s="7" t="n">
        <f aca="false">COUNTIFS('🧪 Tests'!A:A,I6,'🧪 Tests'!G:G,"✅ PASS")</f>
        <v>2</v>
      </c>
      <c r="E6" s="7" t="n">
        <f aca="false">COUNTIFS('🧪 Tests'!A:A,I6,'🧪 Tests'!G:G,"❌ FAIL")</f>
        <v>1</v>
      </c>
      <c r="F6" s="7" t="n">
        <f aca="false">COUNTIFS('🧪 Tests'!A:A,I6,'🧪 Tests'!G:G,"⚠️ PARTIEL")</f>
        <v>0</v>
      </c>
      <c r="G6" s="7" t="n">
        <f aca="false">COUNTIFS('🧪 Tests'!A:A,I6,'🧪 Tests'!G:G,"☐ À tester")</f>
        <v>0</v>
      </c>
      <c r="H6" s="7" t="str">
        <f aca="false">IF(C6&gt;0,ROUND((D6+F6*0.5)/C6*100,1)&amp;"%","0%")</f>
        <v>50%</v>
      </c>
      <c r="I6" s="6" t="s">
        <v>15</v>
      </c>
    </row>
    <row r="7" customFormat="false" ht="15" hidden="false" customHeight="false" outlineLevel="0" collapsed="false">
      <c r="A7" s="4" t="s">
        <v>16</v>
      </c>
      <c r="B7" s="4" t="s">
        <v>17</v>
      </c>
      <c r="C7" s="5" t="n">
        <v>13</v>
      </c>
      <c r="D7" s="5" t="n">
        <f aca="false">COUNTIFS('🧪 Tests'!A:A,I7,'🧪 Tests'!G:G,"✅ PASS")</f>
        <v>5</v>
      </c>
      <c r="E7" s="5" t="n">
        <f aca="false">COUNTIFS('🧪 Tests'!A:A,I7,'🧪 Tests'!G:G,"❌ FAIL")</f>
        <v>0</v>
      </c>
      <c r="F7" s="5" t="n">
        <f aca="false">COUNTIFS('🧪 Tests'!A:A,I7,'🧪 Tests'!G:G,"⚠️ PARTIEL")</f>
        <v>0</v>
      </c>
      <c r="G7" s="5" t="n">
        <f aca="false">COUNTIFS('🧪 Tests'!A:A,I7,'🧪 Tests'!G:G,"☐ À tester")</f>
        <v>7</v>
      </c>
      <c r="H7" s="5" t="str">
        <f aca="false">IF(C7&gt;0,ROUND((D7+F7*0.5)/C7*100,1)&amp;"%","0%")</f>
        <v>38,5%</v>
      </c>
      <c r="I7" s="4" t="s">
        <v>18</v>
      </c>
    </row>
    <row r="8" customFormat="false" ht="15" hidden="false" customHeight="false" outlineLevel="0" collapsed="false">
      <c r="A8" s="6" t="s">
        <v>19</v>
      </c>
      <c r="B8" s="6" t="s">
        <v>20</v>
      </c>
      <c r="C8" s="7" t="n">
        <v>6</v>
      </c>
      <c r="D8" s="7" t="n">
        <f aca="false">COUNTIFS('🧪 Tests'!A:A,I8,'🧪 Tests'!G:G,"✅ PASS")</f>
        <v>0</v>
      </c>
      <c r="E8" s="7" t="n">
        <f aca="false">COUNTIFS('🧪 Tests'!A:A,I8,'🧪 Tests'!G:G,"❌ FAIL")</f>
        <v>0</v>
      </c>
      <c r="F8" s="7" t="n">
        <f aca="false">COUNTIFS('🧪 Tests'!A:A,I8,'🧪 Tests'!G:G,"⚠️ PARTIEL")</f>
        <v>0</v>
      </c>
      <c r="G8" s="7" t="n">
        <f aca="false">COUNTIFS('🧪 Tests'!A:A,I8,'🧪 Tests'!G:G,"☐ À tester")</f>
        <v>6</v>
      </c>
      <c r="H8" s="7" t="str">
        <f aca="false">IF(C8&gt;0,ROUND((D8+F8*0.5)/C8*100,1)&amp;"%","0%")</f>
        <v>0%</v>
      </c>
      <c r="I8" s="6" t="s">
        <v>21</v>
      </c>
    </row>
    <row r="9" customFormat="false" ht="15" hidden="false" customHeight="false" outlineLevel="0" collapsed="false">
      <c r="A9" s="4" t="s">
        <v>22</v>
      </c>
      <c r="B9" s="4" t="s">
        <v>23</v>
      </c>
      <c r="C9" s="5" t="n">
        <v>19</v>
      </c>
      <c r="D9" s="5" t="n">
        <f aca="false">COUNTIFS('🧪 Tests'!A:A,I9,'🧪 Tests'!G:G,"✅ PASS")</f>
        <v>0</v>
      </c>
      <c r="E9" s="5" t="n">
        <f aca="false">COUNTIFS('🧪 Tests'!A:A,I9,'🧪 Tests'!G:G,"❌ FAIL")</f>
        <v>0</v>
      </c>
      <c r="F9" s="5" t="n">
        <f aca="false">COUNTIFS('🧪 Tests'!A:A,I9,'🧪 Tests'!G:G,"⚠️ PARTIEL")</f>
        <v>0</v>
      </c>
      <c r="G9" s="5" t="n">
        <f aca="false">COUNTIFS('🧪 Tests'!A:A,I9,'🧪 Tests'!G:G,"☐ À tester")</f>
        <v>19</v>
      </c>
      <c r="H9" s="5" t="str">
        <f aca="false">IF(C9&gt;0,ROUND((D9+F9*0.5)/C9*100,1)&amp;"%","0%")</f>
        <v>0%</v>
      </c>
      <c r="I9" s="4" t="s">
        <v>24</v>
      </c>
    </row>
    <row r="10" customFormat="false" ht="15" hidden="false" customHeight="false" outlineLevel="0" collapsed="false">
      <c r="A10" s="6" t="s">
        <v>25</v>
      </c>
      <c r="B10" s="6" t="s">
        <v>26</v>
      </c>
      <c r="C10" s="7" t="n">
        <v>12</v>
      </c>
      <c r="D10" s="7" t="n">
        <f aca="false">COUNTIFS('🧪 Tests'!A:A,I10,'🧪 Tests'!G:G,"✅ PASS")</f>
        <v>0</v>
      </c>
      <c r="E10" s="7" t="n">
        <f aca="false">COUNTIFS('🧪 Tests'!A:A,I10,'🧪 Tests'!G:G,"❌ FAIL")</f>
        <v>0</v>
      </c>
      <c r="F10" s="7" t="n">
        <f aca="false">COUNTIFS('🧪 Tests'!A:A,I10,'🧪 Tests'!G:G,"⚠️ PARTIEL")</f>
        <v>0</v>
      </c>
      <c r="G10" s="7" t="n">
        <f aca="false">COUNTIFS('🧪 Tests'!A:A,I10,'🧪 Tests'!G:G,"☐ À tester")</f>
        <v>12</v>
      </c>
      <c r="H10" s="7" t="str">
        <f aca="false">IF(C10&gt;0,ROUND((D10+F10*0.5)/C10*100,1)&amp;"%","0%")</f>
        <v>0%</v>
      </c>
      <c r="I10" s="6" t="s">
        <v>27</v>
      </c>
    </row>
    <row r="11" customFormat="false" ht="15" hidden="false" customHeight="false" outlineLevel="0" collapsed="false">
      <c r="A11" s="4" t="s">
        <v>28</v>
      </c>
      <c r="B11" s="4" t="s">
        <v>29</v>
      </c>
      <c r="C11" s="5" t="n">
        <v>4</v>
      </c>
      <c r="D11" s="5" t="n">
        <f aca="false">COUNTIFS('🧪 Tests'!A:A,I11,'🧪 Tests'!G:G,"✅ PASS")</f>
        <v>0</v>
      </c>
      <c r="E11" s="5" t="n">
        <f aca="false">COUNTIFS('🧪 Tests'!A:A,I11,'🧪 Tests'!G:G,"❌ FAIL")</f>
        <v>0</v>
      </c>
      <c r="F11" s="5" t="n">
        <f aca="false">COUNTIFS('🧪 Tests'!A:A,I11,'🧪 Tests'!G:G,"⚠️ PARTIEL")</f>
        <v>0</v>
      </c>
      <c r="G11" s="5" t="n">
        <f aca="false">COUNTIFS('🧪 Tests'!A:A,I11,'🧪 Tests'!G:G,"☐ À tester")</f>
        <v>4</v>
      </c>
      <c r="H11" s="5" t="str">
        <f aca="false">IF(C11&gt;0,ROUND((D11+F11*0.5)/C11*100,1)&amp;"%","0%")</f>
        <v>0%</v>
      </c>
      <c r="I11" s="4" t="s">
        <v>30</v>
      </c>
    </row>
    <row r="12" customFormat="false" ht="15" hidden="false" customHeight="false" outlineLevel="0" collapsed="false">
      <c r="A12" s="6" t="s">
        <v>31</v>
      </c>
      <c r="B12" s="6" t="s">
        <v>32</v>
      </c>
      <c r="C12" s="7" t="n">
        <v>7</v>
      </c>
      <c r="D12" s="7" t="n">
        <f aca="false">COUNTIFS('🧪 Tests'!A:A,I12,'🧪 Tests'!G:G,"✅ PASS")</f>
        <v>0</v>
      </c>
      <c r="E12" s="7" t="n">
        <f aca="false">COUNTIFS('🧪 Tests'!A:A,I12,'🧪 Tests'!G:G,"❌ FAIL")</f>
        <v>0</v>
      </c>
      <c r="F12" s="7" t="n">
        <f aca="false">COUNTIFS('🧪 Tests'!A:A,I12,'🧪 Tests'!G:G,"⚠️ PARTIEL")</f>
        <v>0</v>
      </c>
      <c r="G12" s="7" t="n">
        <f aca="false">COUNTIFS('🧪 Tests'!A:A,I12,'🧪 Tests'!G:G,"☐ À tester")</f>
        <v>7</v>
      </c>
      <c r="H12" s="7" t="str">
        <f aca="false">IF(C12&gt;0,ROUND((D12+F12*0.5)/C12*100,1)&amp;"%","0%")</f>
        <v>0%</v>
      </c>
      <c r="I12" s="6" t="s">
        <v>33</v>
      </c>
    </row>
    <row r="13" customFormat="false" ht="15" hidden="false" customHeight="false" outlineLevel="0" collapsed="false">
      <c r="A13" s="4" t="s">
        <v>34</v>
      </c>
      <c r="B13" s="4" t="s">
        <v>35</v>
      </c>
      <c r="C13" s="5" t="n">
        <v>4</v>
      </c>
      <c r="D13" s="5" t="n">
        <f aca="false">COUNTIFS('🧪 Tests'!A:A,I13,'🧪 Tests'!G:G,"✅ PASS")</f>
        <v>0</v>
      </c>
      <c r="E13" s="5" t="n">
        <f aca="false">COUNTIFS('🧪 Tests'!A:A,I13,'🧪 Tests'!G:G,"❌ FAIL")</f>
        <v>0</v>
      </c>
      <c r="F13" s="5" t="n">
        <f aca="false">COUNTIFS('🧪 Tests'!A:A,I13,'🧪 Tests'!G:G,"⚠️ PARTIEL")</f>
        <v>0</v>
      </c>
      <c r="G13" s="5" t="n">
        <f aca="false">COUNTIFS('🧪 Tests'!A:A,I13,'🧪 Tests'!G:G,"☐ À tester")</f>
        <v>4</v>
      </c>
      <c r="H13" s="5" t="str">
        <f aca="false">IF(C13&gt;0,ROUND((D13+F13*0.5)/C13*100,1)&amp;"%","0%")</f>
        <v>0%</v>
      </c>
      <c r="I13" s="4" t="s">
        <v>36</v>
      </c>
    </row>
    <row r="14" customFormat="false" ht="15" hidden="false" customHeight="false" outlineLevel="0" collapsed="false">
      <c r="A14" s="6" t="s">
        <v>37</v>
      </c>
      <c r="B14" s="6" t="s">
        <v>38</v>
      </c>
      <c r="C14" s="7" t="n">
        <v>8</v>
      </c>
      <c r="D14" s="7" t="n">
        <f aca="false">COUNTIFS('🧪 Tests'!A:A,I14,'🧪 Tests'!G:G,"✅ PASS")</f>
        <v>0</v>
      </c>
      <c r="E14" s="7" t="n">
        <f aca="false">COUNTIFS('🧪 Tests'!A:A,I14,'🧪 Tests'!G:G,"❌ FAIL")</f>
        <v>0</v>
      </c>
      <c r="F14" s="7" t="n">
        <f aca="false">COUNTIFS('🧪 Tests'!A:A,I14,'🧪 Tests'!G:G,"⚠️ PARTIEL")</f>
        <v>0</v>
      </c>
      <c r="G14" s="7" t="n">
        <f aca="false">COUNTIFS('🧪 Tests'!A:A,I14,'🧪 Tests'!G:G,"☐ À tester")</f>
        <v>8</v>
      </c>
      <c r="H14" s="7" t="str">
        <f aca="false">IF(C14&gt;0,ROUND((D14+F14*0.5)/C14*100,1)&amp;"%","0%")</f>
        <v>0%</v>
      </c>
      <c r="I14" s="6" t="s">
        <v>39</v>
      </c>
    </row>
    <row r="15" customFormat="false" ht="15" hidden="false" customHeight="false" outlineLevel="0" collapsed="false">
      <c r="A15" s="4" t="s">
        <v>40</v>
      </c>
      <c r="B15" s="4" t="s">
        <v>41</v>
      </c>
      <c r="C15" s="5" t="n">
        <v>6</v>
      </c>
      <c r="D15" s="5" t="n">
        <f aca="false">COUNTIFS('🧪 Tests'!A:A,I15,'🧪 Tests'!G:G,"✅ PASS")</f>
        <v>0</v>
      </c>
      <c r="E15" s="5" t="n">
        <f aca="false">COUNTIFS('🧪 Tests'!A:A,I15,'🧪 Tests'!G:G,"❌ FAIL")</f>
        <v>0</v>
      </c>
      <c r="F15" s="5" t="n">
        <f aca="false">COUNTIFS('🧪 Tests'!A:A,I15,'🧪 Tests'!G:G,"⚠️ PARTIEL")</f>
        <v>0</v>
      </c>
      <c r="G15" s="5" t="n">
        <f aca="false">COUNTIFS('🧪 Tests'!A:A,I15,'🧪 Tests'!G:G,"☐ À tester")</f>
        <v>6</v>
      </c>
      <c r="H15" s="5" t="str">
        <f aca="false">IF(C15&gt;0,ROUND((D15+F15*0.5)/C15*100,1)&amp;"%","0%")</f>
        <v>0%</v>
      </c>
      <c r="I15" s="4" t="s">
        <v>42</v>
      </c>
    </row>
    <row r="16" customFormat="false" ht="15" hidden="false" customHeight="false" outlineLevel="0" collapsed="false">
      <c r="A16" s="8" t="s">
        <v>43</v>
      </c>
      <c r="B16" s="8" t="s">
        <v>17</v>
      </c>
      <c r="C16" s="9" t="n">
        <v>8</v>
      </c>
      <c r="D16" s="9" t="n">
        <f aca="false">COUNTIFS('🧪 Tests'!A:A,I16,'🧪 Tests'!G:G,"✅ PASS")</f>
        <v>0</v>
      </c>
      <c r="E16" s="9" t="n">
        <f aca="false">COUNTIFS('🧪 Tests'!A:A,I16,'🧪 Tests'!G:G,"❌ FAIL")</f>
        <v>0</v>
      </c>
      <c r="F16" s="9" t="n">
        <f aca="false">COUNTIFS('🧪 Tests'!A:A,I16,'🧪 Tests'!G:G,"⚠️ PARTIEL")</f>
        <v>0</v>
      </c>
      <c r="G16" s="9" t="n">
        <f aca="false">COUNTIFS('🧪 Tests'!A:A,I16,'🧪 Tests'!G:G,"☐ À tester")</f>
        <v>8</v>
      </c>
      <c r="H16" s="9" t="str">
        <f aca="false">IF(C16&gt;0,ROUND((D16+F16*0.5)/C16*100,1)&amp;"%","0%")</f>
        <v>0%</v>
      </c>
      <c r="I16" s="8" t="s">
        <v>44</v>
      </c>
    </row>
    <row r="17" customFormat="false" ht="15" hidden="false" customHeight="false" outlineLevel="0" collapsed="false">
      <c r="A17" s="10" t="s">
        <v>45</v>
      </c>
      <c r="B17" s="10" t="s">
        <v>20</v>
      </c>
      <c r="C17" s="11" t="n">
        <v>3</v>
      </c>
      <c r="D17" s="11" t="n">
        <f aca="false">COUNTIFS('🧪 Tests'!A:A,I17,'🧪 Tests'!G:G,"✅ PASS")</f>
        <v>0</v>
      </c>
      <c r="E17" s="11" t="n">
        <f aca="false">COUNTIFS('🧪 Tests'!A:A,I17,'🧪 Tests'!G:G,"❌ FAIL")</f>
        <v>0</v>
      </c>
      <c r="F17" s="11" t="n">
        <f aca="false">COUNTIFS('🧪 Tests'!A:A,I17,'🧪 Tests'!G:G,"⚠️ PARTIEL")</f>
        <v>0</v>
      </c>
      <c r="G17" s="11" t="n">
        <f aca="false">COUNTIFS('🧪 Tests'!A:A,I17,'🧪 Tests'!G:G,"☐ À tester")</f>
        <v>3</v>
      </c>
      <c r="H17" s="11" t="str">
        <f aca="false">IF(C17&gt;0,ROUND((D17+F17*0.5)/C17*100,1)&amp;"%","0%")</f>
        <v>0%</v>
      </c>
      <c r="I17" s="10" t="s">
        <v>46</v>
      </c>
    </row>
    <row r="18" customFormat="false" ht="15" hidden="false" customHeight="false" outlineLevel="0" collapsed="false">
      <c r="A18" s="12" t="s">
        <v>47</v>
      </c>
      <c r="B18" s="12" t="s">
        <v>26</v>
      </c>
      <c r="C18" s="13" t="n">
        <v>7</v>
      </c>
      <c r="D18" s="13" t="n">
        <f aca="false">COUNTIFS('🧪 Tests'!A:A,I18,'🧪 Tests'!G:G,"✅ PASS")</f>
        <v>0</v>
      </c>
      <c r="E18" s="13" t="n">
        <f aca="false">COUNTIFS('🧪 Tests'!A:A,I18,'🧪 Tests'!G:G,"❌ FAIL")</f>
        <v>0</v>
      </c>
      <c r="F18" s="13" t="n">
        <f aca="false">COUNTIFS('🧪 Tests'!A:A,I18,'🧪 Tests'!G:G,"⚠️ PARTIEL")</f>
        <v>0</v>
      </c>
      <c r="G18" s="13" t="n">
        <f aca="false">COUNTIFS('🧪 Tests'!A:A,I18,'🧪 Tests'!G:G,"☐ À tester")</f>
        <v>7</v>
      </c>
      <c r="H18" s="13" t="str">
        <f aca="false">IF(C18&gt;0,ROUND((D18+F18*0.5)/C18*100,1)&amp;"%","0%")</f>
        <v>0%</v>
      </c>
      <c r="I18" s="12" t="s">
        <v>48</v>
      </c>
    </row>
    <row r="19" customFormat="false" ht="15" hidden="false" customHeight="false" outlineLevel="0" collapsed="false">
      <c r="A19" s="10" t="s">
        <v>49</v>
      </c>
      <c r="B19" s="10" t="s">
        <v>50</v>
      </c>
      <c r="C19" s="11" t="n">
        <v>5</v>
      </c>
      <c r="D19" s="11" t="n">
        <f aca="false">COUNTIFS('🧪 Tests'!A:A,I19,'🧪 Tests'!G:G,"✅ PASS")</f>
        <v>0</v>
      </c>
      <c r="E19" s="11" t="n">
        <f aca="false">COUNTIFS('🧪 Tests'!A:A,I19,'🧪 Tests'!G:G,"❌ FAIL")</f>
        <v>0</v>
      </c>
      <c r="F19" s="11" t="n">
        <f aca="false">COUNTIFS('🧪 Tests'!A:A,I19,'🧪 Tests'!G:G,"⚠️ PARTIEL")</f>
        <v>0</v>
      </c>
      <c r="G19" s="11" t="n">
        <f aca="false">COUNTIFS('🧪 Tests'!A:A,I19,'🧪 Tests'!G:G,"☐ À tester")</f>
        <v>5</v>
      </c>
      <c r="H19" s="11" t="str">
        <f aca="false">IF(C19&gt;0,ROUND((D19+F19*0.5)/C19*100,1)&amp;"%","0%")</f>
        <v>0%</v>
      </c>
      <c r="I19" s="10" t="s">
        <v>51</v>
      </c>
    </row>
    <row r="20" customFormat="false" ht="15" hidden="false" customHeight="false" outlineLevel="0" collapsed="false">
      <c r="A20" s="12" t="s">
        <v>52</v>
      </c>
      <c r="B20" s="12" t="s">
        <v>53</v>
      </c>
      <c r="C20" s="13" t="n">
        <v>4</v>
      </c>
      <c r="D20" s="13" t="n">
        <f aca="false">COUNTIFS('🧪 Tests'!A:A,I20,'🧪 Tests'!G:G,"✅ PASS")</f>
        <v>0</v>
      </c>
      <c r="E20" s="13" t="n">
        <f aca="false">COUNTIFS('🧪 Tests'!A:A,I20,'🧪 Tests'!G:G,"❌ FAIL")</f>
        <v>0</v>
      </c>
      <c r="F20" s="13" t="n">
        <f aca="false">COUNTIFS('🧪 Tests'!A:A,I20,'🧪 Tests'!G:G,"⚠️ PARTIEL")</f>
        <v>0</v>
      </c>
      <c r="G20" s="13" t="n">
        <f aca="false">COUNTIFS('🧪 Tests'!A:A,I20,'🧪 Tests'!G:G,"☐ À tester")</f>
        <v>4</v>
      </c>
      <c r="H20" s="13" t="str">
        <f aca="false">IF(C20&gt;0,ROUND((D20+F20*0.5)/C20*100,1)&amp;"%","0%")</f>
        <v>0%</v>
      </c>
      <c r="I20" s="12" t="s">
        <v>54</v>
      </c>
    </row>
    <row r="21" customFormat="false" ht="15" hidden="false" customHeight="false" outlineLevel="0" collapsed="false">
      <c r="A21" s="10" t="s">
        <v>55</v>
      </c>
      <c r="B21" s="10" t="s">
        <v>11</v>
      </c>
      <c r="C21" s="11" t="n">
        <v>3</v>
      </c>
      <c r="D21" s="11" t="n">
        <f aca="false">COUNTIFS('🧪 Tests'!A:A,I21,'🧪 Tests'!G:G,"✅ PASS")</f>
        <v>0</v>
      </c>
      <c r="E21" s="11" t="n">
        <f aca="false">COUNTIFS('🧪 Tests'!A:A,I21,'🧪 Tests'!G:G,"❌ FAIL")</f>
        <v>0</v>
      </c>
      <c r="F21" s="11" t="n">
        <f aca="false">COUNTIFS('🧪 Tests'!A:A,I21,'🧪 Tests'!G:G,"⚠️ PARTIEL")</f>
        <v>0</v>
      </c>
      <c r="G21" s="11" t="n">
        <f aca="false">COUNTIFS('🧪 Tests'!A:A,I21,'🧪 Tests'!G:G,"☐ À tester")</f>
        <v>5</v>
      </c>
      <c r="H21" s="11" t="str">
        <f aca="false">IF(C21&gt;0,ROUND((D21+F21*0.5)/C21*100,1)&amp;"%","0%")</f>
        <v>0%</v>
      </c>
      <c r="I21" s="10" t="s">
        <v>56</v>
      </c>
    </row>
    <row r="22" customFormat="false" ht="15" hidden="false" customHeight="false" outlineLevel="0" collapsed="false">
      <c r="A22" s="0" t="s">
        <v>57</v>
      </c>
      <c r="B22" s="0" t="s">
        <v>58</v>
      </c>
      <c r="C22" s="0" t="n">
        <v>5</v>
      </c>
      <c r="D22" s="0" t="n">
        <f aca="false">COUNTIFS('🧪 Tests'!A:A,I22,'🧪 Tests'!G:G,"✅ PASS")</f>
        <v>0</v>
      </c>
      <c r="E22" s="0" t="n">
        <f aca="false">COUNTIFS('🧪 Tests'!A:A,I22,'🧪 Tests'!G:G,"❌ FAIL")</f>
        <v>0</v>
      </c>
      <c r="F22" s="0" t="n">
        <f aca="false">COUNTIFS('🧪 Tests'!A:A,I22,'🧪 Tests'!G:G,"⚠️ PARTIEL")</f>
        <v>0</v>
      </c>
      <c r="G22" s="0" t="n">
        <f aca="false">COUNTIFS('🧪 Tests'!A:A,I22,'🧪 Tests'!G:G,"☐ À tester")</f>
        <v>5</v>
      </c>
      <c r="H22" s="0" t="str">
        <f aca="false">IF(C22&gt;0,ROUND((D22+F22*0.5)/C22*100,1)&amp;"%","0%")</f>
        <v>0%</v>
      </c>
      <c r="I22" s="0" t="s">
        <v>56</v>
      </c>
    </row>
    <row r="23" customFormat="false" ht="7.5" hidden="false" customHeight="true" outlineLevel="0" collapsed="false">
      <c r="A23" s="0" t="s">
        <v>59</v>
      </c>
      <c r="B23" s="0" t="s">
        <v>60</v>
      </c>
      <c r="C23" s="0" t="n">
        <v>5</v>
      </c>
      <c r="D23" s="0" t="n">
        <f aca="false">COUNTIFS('🧪 Tests'!A:A,I23,'🧪 Tests'!G:G,"✅ PASS")</f>
        <v>0</v>
      </c>
      <c r="E23" s="0" t="n">
        <f aca="false">COUNTIFS('🧪 Tests'!A:A,I23,'🧪 Tests'!G:G,"❌ FAIL")</f>
        <v>0</v>
      </c>
      <c r="F23" s="0" t="n">
        <f aca="false">COUNTIFS('🧪 Tests'!A:A,I23,'🧪 Tests'!G:G,"⚠️ PARTIEL")</f>
        <v>0</v>
      </c>
      <c r="G23" s="0" t="n">
        <f aca="false">COUNTIFS('🧪 Tests'!A:A,I23,'🧪 Tests'!G:G,"☐ À tester")</f>
        <v>5</v>
      </c>
      <c r="H23" s="0" t="str">
        <f aca="false">IF(C23&gt;0,ROUND((D23+F23*0.5)/C23*100,1)&amp;"%","0%")</f>
        <v>0%</v>
      </c>
      <c r="I23" s="0" t="s">
        <v>61</v>
      </c>
    </row>
    <row r="24" customFormat="false" ht="15" hidden="false" customHeight="false" outlineLevel="0" collapsed="false">
      <c r="A24" s="0" t="s">
        <v>62</v>
      </c>
      <c r="B24" s="0" t="s">
        <v>63</v>
      </c>
      <c r="C24" s="0" t="n">
        <v>5</v>
      </c>
      <c r="D24" s="0" t="n">
        <f aca="false">COUNTIFS('🧪 Tests'!A:A,I24,'🧪 Tests'!G:G,"✅ PASS")</f>
        <v>0</v>
      </c>
      <c r="E24" s="0" t="n">
        <f aca="false">COUNTIFS('🧪 Tests'!A:A,I24,'🧪 Tests'!G:G,"❌ FAIL")</f>
        <v>0</v>
      </c>
      <c r="F24" s="0" t="n">
        <f aca="false">COUNTIFS('🧪 Tests'!A:A,I24,'🧪 Tests'!G:G,"⚠️ PARTIEL")</f>
        <v>0</v>
      </c>
      <c r="G24" s="0" t="n">
        <f aca="false">COUNTIFS('🧪 Tests'!A:A,I24,'🧪 Tests'!G:G,"☐ À tester")</f>
        <v>5</v>
      </c>
      <c r="H24" s="0" t="str">
        <f aca="false">IF(C24&gt;0,ROUND((D24+F24*0.5)/C24*100,1)&amp;"%","0%")</f>
        <v>0%</v>
      </c>
      <c r="I24" s="0" t="s">
        <v>64</v>
      </c>
    </row>
    <row r="25" customFormat="false" ht="15" hidden="false" customHeight="false" outlineLevel="0" collapsed="false">
      <c r="A25" s="0" t="s">
        <v>65</v>
      </c>
      <c r="B25" s="14" t="s">
        <v>23</v>
      </c>
      <c r="C25" s="14" t="n">
        <v>3</v>
      </c>
      <c r="D25" s="14" t="n">
        <f aca="false">COUNTIFS('🧪 Tests'!A:A,I25,'🧪 Tests'!G:G,"✅ PASS")</f>
        <v>0</v>
      </c>
      <c r="E25" s="14" t="n">
        <f aca="false">COUNTIFS('🧪 Tests'!A:A,I25,'🧪 Tests'!G:G,"❌ FAIL")</f>
        <v>0</v>
      </c>
      <c r="F25" s="14" t="n">
        <f aca="false">COUNTIFS('🧪 Tests'!A:A,I25,'🧪 Tests'!G:G,"⚠️ PARTIEL")</f>
        <v>0</v>
      </c>
      <c r="G25" s="14" t="n">
        <f aca="false">COUNTIFS('🧪 Tests'!A:A,I25,'🧪 Tests'!G:G,"☐ À tester")</f>
        <v>3</v>
      </c>
      <c r="H25" s="14" t="str">
        <f aca="false">IF(C25&gt;0,ROUND((D25+F25*0.5)/C25*100,1)&amp;"%","0%")</f>
        <v>0%</v>
      </c>
      <c r="I25" s="14" t="s">
        <v>66</v>
      </c>
    </row>
    <row r="26" customFormat="false" ht="16.4" hidden="false" customHeight="false" outlineLevel="0" collapsed="false">
      <c r="A26" s="15" t="s">
        <v>67</v>
      </c>
      <c r="B26" s="15"/>
      <c r="C26" s="15" t="n">
        <f aca="false">SUM(C5:C25)</f>
        <v>137</v>
      </c>
      <c r="D26" s="15" t="n">
        <f aca="false">COUNTIF('🧪 Tests'!G:G,"✅ PASS")</f>
        <v>12</v>
      </c>
      <c r="E26" s="15" t="n">
        <f aca="false">COUNTIF('🧪 Tests'!G:G,"❌ FAIL")</f>
        <v>1</v>
      </c>
      <c r="F26" s="15" t="n">
        <f aca="false">COUNTIF('🧪 Tests'!G:G,"⚠️ PARTIEL")</f>
        <v>1</v>
      </c>
      <c r="G26" s="15" t="n">
        <f aca="false">COUNTIF('🧪 Tests'!G:G,"☐ À tester")</f>
        <v>121</v>
      </c>
      <c r="H26" s="15" t="str">
        <f aca="false">IF(C22&gt;0,ROUND((D22+F22*0.5)/C22*100,1)&amp;"%","0%")</f>
        <v>0%</v>
      </c>
      <c r="I26" s="15"/>
    </row>
    <row r="27" customFormat="false" ht="15" hidden="false" customHeight="false" outlineLevel="0" collapsed="false">
      <c r="B27" s="14"/>
      <c r="C27" s="14"/>
      <c r="D27" s="14"/>
      <c r="E27" s="14"/>
      <c r="F27" s="14"/>
      <c r="G27" s="14"/>
      <c r="H27" s="14"/>
      <c r="I27" s="14"/>
    </row>
    <row r="28" customFormat="false" ht="15" hidden="false" customHeight="false" outlineLevel="0" collapsed="false">
      <c r="A28" s="16" t="s">
        <v>68</v>
      </c>
      <c r="B28" s="14"/>
      <c r="C28" s="14"/>
      <c r="D28" s="14"/>
      <c r="E28" s="14"/>
      <c r="F28" s="14"/>
      <c r="G28" s="14"/>
      <c r="H28" s="14"/>
      <c r="I28" s="14"/>
    </row>
    <row r="29" customFormat="false" ht="15" hidden="false" customHeight="false" outlineLevel="0" collapsed="false">
      <c r="A29" s="17" t="s">
        <v>7</v>
      </c>
      <c r="B29" s="18" t="s">
        <v>69</v>
      </c>
      <c r="C29" s="18"/>
      <c r="D29" s="18"/>
      <c r="E29" s="18"/>
      <c r="F29" s="18"/>
      <c r="G29" s="18"/>
      <c r="H29" s="18"/>
      <c r="I29" s="18"/>
    </row>
    <row r="30" customFormat="false" ht="15" hidden="false" customHeight="false" outlineLevel="0" collapsed="false">
      <c r="A30" s="17" t="s">
        <v>4</v>
      </c>
      <c r="B30" s="19" t="s">
        <v>70</v>
      </c>
    </row>
    <row r="31" customFormat="false" ht="7.5" hidden="false" customHeight="true" outlineLevel="0" collapsed="false">
      <c r="A31" s="17" t="s">
        <v>5</v>
      </c>
      <c r="B31" s="19" t="s">
        <v>71</v>
      </c>
    </row>
    <row r="32" customFormat="false" ht="15" hidden="false" customHeight="false" outlineLevel="0" collapsed="false">
      <c r="A32" s="17" t="s">
        <v>6</v>
      </c>
      <c r="B32" s="19" t="s">
        <v>72</v>
      </c>
    </row>
    <row r="33" customFormat="false" ht="15" hidden="false" customHeight="false" outlineLevel="0" collapsed="false">
      <c r="A33" s="17" t="s">
        <v>73</v>
      </c>
      <c r="B33" s="19" t="s">
        <v>74</v>
      </c>
    </row>
    <row r="36" customFormat="false" ht="15" hidden="false" customHeight="false" outlineLevel="0" collapsed="false">
      <c r="A36" s="16" t="s">
        <v>75</v>
      </c>
    </row>
    <row r="37" customFormat="false" ht="15" hidden="false" customHeight="false" outlineLevel="0" collapsed="false">
      <c r="A37" s="17" t="s">
        <v>76</v>
      </c>
      <c r="B37" s="19" t="s">
        <v>77</v>
      </c>
    </row>
    <row r="38" customFormat="false" ht="15" hidden="false" customHeight="false" outlineLevel="0" collapsed="false">
      <c r="A38" s="17" t="s">
        <v>78</v>
      </c>
      <c r="B38" s="19" t="s">
        <v>79</v>
      </c>
    </row>
    <row r="39" customFormat="false" ht="15" hidden="false" customHeight="false" outlineLevel="0" collapsed="false">
      <c r="A39" s="17" t="s">
        <v>80</v>
      </c>
      <c r="B39" s="19" t="s">
        <v>81</v>
      </c>
    </row>
  </sheetData>
  <mergeCells count="7">
    <mergeCell ref="A1:I1"/>
    <mergeCell ref="A2:I2"/>
    <mergeCell ref="B25:I25"/>
    <mergeCell ref="B26:I26"/>
    <mergeCell ref="B27:I27"/>
    <mergeCell ref="B28:I28"/>
    <mergeCell ref="B29:I2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D4A843"/>
    <pageSetUpPr fitToPage="false"/>
  </sheetPr>
  <dimension ref="A1:K140"/>
  <sheetViews>
    <sheetView showFormulas="false" showGridLines="true" showRowColHeaders="true" showZeros="true" rightToLeft="false" tabSelected="true" showOutlineSymbols="true" defaultGridColor="true" view="normal" topLeftCell="B1" colorId="64" zoomScale="100" zoomScaleNormal="100" zoomScalePageLayoutView="100" workbookViewId="0">
      <pane xSplit="0" ySplit="3" topLeftCell="A4" activePane="bottomLeft" state="frozen"/>
      <selection pane="topLeft" activeCell="B1" activeCellId="0" sqref="B1"/>
      <selection pane="bottomLeft" activeCell="C32" activeCellId="0" sqref="C32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25"/>
    <col collapsed="false" customWidth="true" hidden="false" outlineLevel="0" max="2" min="2" style="0" width="12"/>
    <col collapsed="false" customWidth="true" hidden="false" outlineLevel="0" max="3" min="3" style="0" width="35"/>
    <col collapsed="false" customWidth="true" hidden="false" outlineLevel="0" max="5" min="4" style="0" width="45"/>
    <col collapsed="false" customWidth="true" hidden="false" outlineLevel="0" max="6" min="6" style="0" width="12"/>
    <col collapsed="false" customWidth="true" hidden="false" outlineLevel="0" max="7" min="7" style="0" width="14"/>
    <col collapsed="false" customWidth="true" hidden="false" outlineLevel="0" max="8" min="8" style="0" width="12"/>
    <col collapsed="false" customWidth="true" hidden="false" outlineLevel="0" max="10" min="9" style="0" width="30"/>
    <col collapsed="false" customWidth="true" hidden="false" outlineLevel="0" max="11" min="11" style="0" width="15"/>
  </cols>
  <sheetData>
    <row r="1" customFormat="false" ht="34.5" hidden="false" customHeight="true" outlineLevel="0" collapsed="false">
      <c r="A1" s="1" t="s">
        <v>82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5" hidden="false" customHeight="true" outlineLevel="0" collapsed="false">
      <c r="A2" s="2" t="s">
        <v>83</v>
      </c>
      <c r="B2" s="2"/>
      <c r="C2" s="2"/>
      <c r="D2" s="2"/>
      <c r="E2" s="2"/>
      <c r="F2" s="2"/>
      <c r="G2" s="2"/>
      <c r="H2" s="2"/>
      <c r="I2" s="2"/>
      <c r="J2" s="2"/>
      <c r="K2" s="2"/>
    </row>
    <row r="3" customFormat="false" ht="30" hidden="false" customHeight="true" outlineLevel="0" collapsed="false">
      <c r="A3" s="3" t="s">
        <v>84</v>
      </c>
      <c r="B3" s="3" t="s">
        <v>85</v>
      </c>
      <c r="C3" s="3" t="s">
        <v>86</v>
      </c>
      <c r="D3" s="3" t="s">
        <v>87</v>
      </c>
      <c r="E3" s="3" t="s">
        <v>88</v>
      </c>
      <c r="F3" s="3" t="s">
        <v>89</v>
      </c>
      <c r="G3" s="3" t="s">
        <v>90</v>
      </c>
      <c r="H3" s="3" t="s">
        <v>91</v>
      </c>
      <c r="I3" s="3" t="s">
        <v>92</v>
      </c>
      <c r="J3" s="3" t="s">
        <v>93</v>
      </c>
      <c r="K3" s="3" t="s">
        <v>94</v>
      </c>
    </row>
    <row r="4" customFormat="false" ht="28.35" hidden="false" customHeight="false" outlineLevel="0" collapsed="false">
      <c r="A4" s="10" t="s">
        <v>12</v>
      </c>
      <c r="B4" s="10" t="s">
        <v>95</v>
      </c>
      <c r="C4" s="10" t="s">
        <v>96</v>
      </c>
      <c r="D4" s="10" t="s">
        <v>97</v>
      </c>
      <c r="E4" s="10" t="s">
        <v>98</v>
      </c>
      <c r="F4" s="20" t="s">
        <v>99</v>
      </c>
      <c r="G4" s="11" t="s">
        <v>4</v>
      </c>
      <c r="H4" s="11"/>
      <c r="I4" s="10"/>
      <c r="J4" s="10"/>
      <c r="K4" s="10"/>
    </row>
    <row r="5" customFormat="false" ht="28.35" hidden="false" customHeight="false" outlineLevel="0" collapsed="false">
      <c r="A5" s="12" t="s">
        <v>12</v>
      </c>
      <c r="B5" s="12" t="s">
        <v>100</v>
      </c>
      <c r="C5" s="12" t="s">
        <v>101</v>
      </c>
      <c r="D5" s="12" t="s">
        <v>102</v>
      </c>
      <c r="E5" s="12" t="s">
        <v>103</v>
      </c>
      <c r="F5" s="20" t="s">
        <v>99</v>
      </c>
      <c r="G5" s="13" t="s">
        <v>4</v>
      </c>
      <c r="H5" s="13"/>
      <c r="I5" s="12"/>
      <c r="J5" s="12"/>
      <c r="K5" s="12"/>
    </row>
    <row r="6" customFormat="false" ht="28.35" hidden="false" customHeight="false" outlineLevel="0" collapsed="false">
      <c r="A6" s="10" t="s">
        <v>12</v>
      </c>
      <c r="B6" s="10" t="s">
        <v>104</v>
      </c>
      <c r="C6" s="10" t="s">
        <v>105</v>
      </c>
      <c r="D6" s="10" t="s">
        <v>106</v>
      </c>
      <c r="E6" s="10" t="s">
        <v>107</v>
      </c>
      <c r="F6" s="21" t="s">
        <v>108</v>
      </c>
      <c r="G6" s="11" t="s">
        <v>6</v>
      </c>
      <c r="H6" s="11"/>
      <c r="I6" s="10"/>
      <c r="J6" s="10"/>
      <c r="K6" s="10"/>
    </row>
    <row r="7" customFormat="false" ht="28.35" hidden="false" customHeight="false" outlineLevel="0" collapsed="false">
      <c r="A7" s="12" t="s">
        <v>12</v>
      </c>
      <c r="B7" s="12" t="s">
        <v>109</v>
      </c>
      <c r="C7" s="12" t="s">
        <v>110</v>
      </c>
      <c r="D7" s="12" t="s">
        <v>111</v>
      </c>
      <c r="E7" s="12" t="s">
        <v>112</v>
      </c>
      <c r="F7" s="21" t="s">
        <v>108</v>
      </c>
      <c r="G7" s="13" t="s">
        <v>4</v>
      </c>
      <c r="H7" s="13"/>
      <c r="I7" s="12"/>
      <c r="J7" s="12"/>
      <c r="K7" s="12"/>
    </row>
    <row r="8" customFormat="false" ht="28.35" hidden="false" customHeight="false" outlineLevel="0" collapsed="false">
      <c r="A8" s="10" t="s">
        <v>12</v>
      </c>
      <c r="B8" s="10" t="s">
        <v>113</v>
      </c>
      <c r="C8" s="10" t="s">
        <v>114</v>
      </c>
      <c r="D8" s="10" t="s">
        <v>115</v>
      </c>
      <c r="E8" s="10" t="s">
        <v>116</v>
      </c>
      <c r="F8" s="11" t="s">
        <v>117</v>
      </c>
      <c r="G8" s="11" t="s">
        <v>4</v>
      </c>
      <c r="H8" s="11"/>
      <c r="I8" s="10"/>
      <c r="J8" s="10"/>
      <c r="K8" s="10"/>
    </row>
    <row r="9" customFormat="false" ht="15" hidden="false" customHeight="false" outlineLevel="0" collapsed="false">
      <c r="A9" s="12" t="s">
        <v>12</v>
      </c>
      <c r="B9" s="12" t="s">
        <v>118</v>
      </c>
      <c r="C9" s="12" t="s">
        <v>119</v>
      </c>
      <c r="D9" s="12" t="s">
        <v>120</v>
      </c>
      <c r="E9" s="12" t="s">
        <v>121</v>
      </c>
      <c r="F9" s="21" t="s">
        <v>108</v>
      </c>
      <c r="G9" s="13" t="s">
        <v>4</v>
      </c>
      <c r="H9" s="13"/>
      <c r="I9" s="12"/>
      <c r="J9" s="12"/>
      <c r="K9" s="12"/>
    </row>
    <row r="10" customFormat="false" ht="28.35" hidden="false" customHeight="false" outlineLevel="0" collapsed="false">
      <c r="A10" s="10" t="s">
        <v>15</v>
      </c>
      <c r="B10" s="10" t="s">
        <v>122</v>
      </c>
      <c r="C10" s="10" t="s">
        <v>123</v>
      </c>
      <c r="D10" s="10" t="s">
        <v>124</v>
      </c>
      <c r="E10" s="10" t="s">
        <v>125</v>
      </c>
      <c r="F10" s="21" t="s">
        <v>108</v>
      </c>
      <c r="G10" s="11" t="s">
        <v>4</v>
      </c>
      <c r="H10" s="11"/>
      <c r="I10" s="10"/>
      <c r="J10" s="10"/>
      <c r="K10" s="10"/>
    </row>
    <row r="11" customFormat="false" ht="15" hidden="false" customHeight="false" outlineLevel="0" collapsed="false">
      <c r="A11" s="12" t="s">
        <v>15</v>
      </c>
      <c r="B11" s="12" t="s">
        <v>126</v>
      </c>
      <c r="C11" s="12" t="s">
        <v>127</v>
      </c>
      <c r="D11" s="12" t="s">
        <v>128</v>
      </c>
      <c r="E11" s="12" t="s">
        <v>129</v>
      </c>
      <c r="F11" s="21" t="s">
        <v>108</v>
      </c>
      <c r="G11" s="13" t="s">
        <v>4</v>
      </c>
      <c r="H11" s="13"/>
      <c r="I11" s="12"/>
      <c r="J11" s="12"/>
      <c r="K11" s="12"/>
    </row>
    <row r="12" customFormat="false" ht="15" hidden="false" customHeight="false" outlineLevel="0" collapsed="false">
      <c r="A12" s="10" t="s">
        <v>15</v>
      </c>
      <c r="B12" s="10" t="s">
        <v>130</v>
      </c>
      <c r="C12" s="10" t="s">
        <v>131</v>
      </c>
      <c r="D12" s="10" t="s">
        <v>132</v>
      </c>
      <c r="E12" s="10" t="s">
        <v>133</v>
      </c>
      <c r="F12" s="11" t="s">
        <v>117</v>
      </c>
      <c r="G12" s="11" t="s">
        <v>5</v>
      </c>
      <c r="H12" s="11"/>
      <c r="I12" s="10"/>
      <c r="J12" s="10"/>
      <c r="K12" s="10"/>
    </row>
    <row r="13" customFormat="false" ht="15" hidden="false" customHeight="false" outlineLevel="0" collapsed="false">
      <c r="A13" s="12" t="s">
        <v>15</v>
      </c>
      <c r="B13" s="12" t="s">
        <v>134</v>
      </c>
      <c r="C13" s="12" t="s">
        <v>135</v>
      </c>
      <c r="D13" s="12" t="s">
        <v>136</v>
      </c>
      <c r="E13" s="12" t="s">
        <v>137</v>
      </c>
      <c r="F13" s="13" t="s">
        <v>117</v>
      </c>
      <c r="G13" s="13" t="s">
        <v>73</v>
      </c>
      <c r="H13" s="13"/>
      <c r="I13" s="12" t="s">
        <v>138</v>
      </c>
      <c r="J13" s="12"/>
      <c r="K13" s="12"/>
    </row>
    <row r="14" customFormat="false" ht="15" hidden="false" customHeight="false" outlineLevel="0" collapsed="false">
      <c r="A14" s="10" t="s">
        <v>18</v>
      </c>
      <c r="B14" s="10" t="s">
        <v>139</v>
      </c>
      <c r="C14" s="10" t="s">
        <v>140</v>
      </c>
      <c r="D14" s="10" t="s">
        <v>141</v>
      </c>
      <c r="E14" s="10" t="s">
        <v>142</v>
      </c>
      <c r="F14" s="20" t="s">
        <v>99</v>
      </c>
      <c r="G14" s="11" t="s">
        <v>4</v>
      </c>
      <c r="H14" s="11"/>
      <c r="I14" s="10"/>
      <c r="J14" s="10"/>
      <c r="K14" s="10"/>
    </row>
    <row r="15" customFormat="false" ht="15" hidden="false" customHeight="false" outlineLevel="0" collapsed="false">
      <c r="A15" s="12" t="s">
        <v>18</v>
      </c>
      <c r="B15" s="12" t="s">
        <v>143</v>
      </c>
      <c r="C15" s="12" t="s">
        <v>144</v>
      </c>
      <c r="D15" s="12" t="s">
        <v>145</v>
      </c>
      <c r="E15" s="12" t="s">
        <v>146</v>
      </c>
      <c r="F15" s="20" t="s">
        <v>99</v>
      </c>
      <c r="G15" s="13" t="s">
        <v>4</v>
      </c>
      <c r="H15" s="13"/>
      <c r="I15" s="12"/>
      <c r="J15" s="12"/>
      <c r="K15" s="12"/>
    </row>
    <row r="16" customFormat="false" ht="15" hidden="false" customHeight="false" outlineLevel="0" collapsed="false">
      <c r="A16" s="10" t="s">
        <v>18</v>
      </c>
      <c r="B16" s="10" t="s">
        <v>147</v>
      </c>
      <c r="C16" s="10" t="s">
        <v>148</v>
      </c>
      <c r="D16" s="10" t="s">
        <v>149</v>
      </c>
      <c r="E16" s="10" t="s">
        <v>150</v>
      </c>
      <c r="F16" s="21" t="s">
        <v>108</v>
      </c>
      <c r="G16" s="11" t="s">
        <v>4</v>
      </c>
      <c r="H16" s="11"/>
      <c r="I16" s="10"/>
      <c r="J16" s="10"/>
      <c r="K16" s="10"/>
    </row>
    <row r="17" customFormat="false" ht="15" hidden="false" customHeight="false" outlineLevel="0" collapsed="false">
      <c r="A17" s="12" t="s">
        <v>18</v>
      </c>
      <c r="B17" s="12" t="s">
        <v>151</v>
      </c>
      <c r="C17" s="12" t="s">
        <v>152</v>
      </c>
      <c r="D17" s="12" t="s">
        <v>153</v>
      </c>
      <c r="E17" s="12" t="s">
        <v>154</v>
      </c>
      <c r="F17" s="21" t="s">
        <v>108</v>
      </c>
      <c r="G17" s="13" t="s">
        <v>4</v>
      </c>
      <c r="H17" s="13"/>
      <c r="I17" s="12"/>
      <c r="J17" s="12"/>
      <c r="K17" s="12"/>
    </row>
    <row r="18" customFormat="false" ht="15" hidden="false" customHeight="false" outlineLevel="0" collapsed="false">
      <c r="A18" s="10" t="s">
        <v>18</v>
      </c>
      <c r="B18" s="10" t="s">
        <v>155</v>
      </c>
      <c r="C18" s="10" t="s">
        <v>156</v>
      </c>
      <c r="D18" s="10" t="s">
        <v>157</v>
      </c>
      <c r="E18" s="10" t="s">
        <v>158</v>
      </c>
      <c r="F18" s="21" t="s">
        <v>108</v>
      </c>
      <c r="G18" s="11" t="s">
        <v>4</v>
      </c>
      <c r="H18" s="11"/>
      <c r="I18" s="10"/>
      <c r="J18" s="10"/>
      <c r="K18" s="10"/>
    </row>
    <row r="19" customFormat="false" ht="15" hidden="false" customHeight="false" outlineLevel="0" collapsed="false">
      <c r="A19" s="12" t="s">
        <v>18</v>
      </c>
      <c r="B19" s="12" t="s">
        <v>159</v>
      </c>
      <c r="C19" s="12" t="s">
        <v>160</v>
      </c>
      <c r="D19" s="12" t="s">
        <v>161</v>
      </c>
      <c r="E19" s="12" t="s">
        <v>162</v>
      </c>
      <c r="F19" s="21" t="s">
        <v>108</v>
      </c>
      <c r="G19" s="13" t="s">
        <v>7</v>
      </c>
      <c r="H19" s="13"/>
      <c r="I19" s="12"/>
      <c r="J19" s="12"/>
      <c r="K19" s="12"/>
    </row>
    <row r="20" customFormat="false" ht="15" hidden="false" customHeight="false" outlineLevel="0" collapsed="false">
      <c r="A20" s="10" t="s">
        <v>18</v>
      </c>
      <c r="B20" s="10" t="s">
        <v>163</v>
      </c>
      <c r="C20" s="10" t="s">
        <v>164</v>
      </c>
      <c r="D20" s="10" t="s">
        <v>165</v>
      </c>
      <c r="E20" s="10" t="s">
        <v>166</v>
      </c>
      <c r="F20" s="11" t="s">
        <v>117</v>
      </c>
      <c r="G20" s="11" t="s">
        <v>7</v>
      </c>
      <c r="H20" s="11"/>
      <c r="I20" s="10"/>
      <c r="J20" s="10"/>
      <c r="K20" s="10"/>
    </row>
    <row r="21" customFormat="false" ht="15" hidden="false" customHeight="false" outlineLevel="0" collapsed="false">
      <c r="A21" s="12" t="s">
        <v>18</v>
      </c>
      <c r="B21" s="12" t="s">
        <v>167</v>
      </c>
      <c r="C21" s="12" t="s">
        <v>168</v>
      </c>
      <c r="D21" s="12" t="s">
        <v>169</v>
      </c>
      <c r="E21" s="12" t="s">
        <v>170</v>
      </c>
      <c r="F21" s="13" t="s">
        <v>117</v>
      </c>
      <c r="G21" s="13" t="s">
        <v>7</v>
      </c>
      <c r="H21" s="13"/>
      <c r="I21" s="12"/>
      <c r="J21" s="12"/>
      <c r="K21" s="12"/>
    </row>
    <row r="22" customFormat="false" ht="15" hidden="false" customHeight="false" outlineLevel="0" collapsed="false">
      <c r="A22" s="10" t="s">
        <v>18</v>
      </c>
      <c r="B22" s="10" t="s">
        <v>171</v>
      </c>
      <c r="C22" s="10" t="s">
        <v>172</v>
      </c>
      <c r="D22" s="10" t="s">
        <v>173</v>
      </c>
      <c r="E22" s="10" t="s">
        <v>174</v>
      </c>
      <c r="F22" s="11" t="s">
        <v>117</v>
      </c>
      <c r="G22" s="11" t="s">
        <v>7</v>
      </c>
      <c r="H22" s="11"/>
      <c r="I22" s="10"/>
      <c r="J22" s="10"/>
      <c r="K22" s="10"/>
    </row>
    <row r="23" customFormat="false" ht="15" hidden="false" customHeight="false" outlineLevel="0" collapsed="false">
      <c r="A23" s="12" t="s">
        <v>18</v>
      </c>
      <c r="B23" s="12" t="s">
        <v>175</v>
      </c>
      <c r="C23" s="12" t="s">
        <v>176</v>
      </c>
      <c r="D23" s="12" t="s">
        <v>177</v>
      </c>
      <c r="E23" s="12" t="s">
        <v>178</v>
      </c>
      <c r="F23" s="13" t="s">
        <v>117</v>
      </c>
      <c r="G23" s="13" t="s">
        <v>73</v>
      </c>
      <c r="H23" s="13"/>
      <c r="I23" s="12"/>
      <c r="J23" s="12"/>
      <c r="K23" s="12"/>
    </row>
    <row r="24" customFormat="false" ht="15" hidden="false" customHeight="false" outlineLevel="0" collapsed="false">
      <c r="A24" s="10" t="s">
        <v>18</v>
      </c>
      <c r="B24" s="10" t="s">
        <v>179</v>
      </c>
      <c r="C24" s="10" t="s">
        <v>180</v>
      </c>
      <c r="D24" s="10" t="s">
        <v>181</v>
      </c>
      <c r="E24" s="10" t="s">
        <v>182</v>
      </c>
      <c r="F24" s="11" t="s">
        <v>117</v>
      </c>
      <c r="G24" s="11" t="s">
        <v>7</v>
      </c>
      <c r="H24" s="11"/>
      <c r="I24" s="10"/>
      <c r="J24" s="10"/>
      <c r="K24" s="10"/>
    </row>
    <row r="25" customFormat="false" ht="15" hidden="false" customHeight="false" outlineLevel="0" collapsed="false">
      <c r="A25" s="12" t="s">
        <v>18</v>
      </c>
      <c r="B25" s="12" t="s">
        <v>183</v>
      </c>
      <c r="C25" s="12" t="s">
        <v>184</v>
      </c>
      <c r="D25" s="12" t="s">
        <v>185</v>
      </c>
      <c r="E25" s="12" t="s">
        <v>186</v>
      </c>
      <c r="F25" s="21" t="s">
        <v>108</v>
      </c>
      <c r="G25" s="13" t="s">
        <v>7</v>
      </c>
      <c r="H25" s="13"/>
      <c r="I25" s="12"/>
      <c r="J25" s="12"/>
      <c r="K25" s="12"/>
    </row>
    <row r="26" customFormat="false" ht="15" hidden="false" customHeight="false" outlineLevel="0" collapsed="false">
      <c r="A26" s="10" t="s">
        <v>18</v>
      </c>
      <c r="B26" s="10" t="s">
        <v>187</v>
      </c>
      <c r="C26" s="10" t="s">
        <v>188</v>
      </c>
      <c r="D26" s="10" t="s">
        <v>189</v>
      </c>
      <c r="E26" s="10" t="s">
        <v>190</v>
      </c>
      <c r="F26" s="20" t="s">
        <v>99</v>
      </c>
      <c r="G26" s="11" t="s">
        <v>7</v>
      </c>
      <c r="H26" s="11"/>
      <c r="I26" s="10"/>
      <c r="J26" s="10"/>
      <c r="K26" s="10"/>
    </row>
    <row r="27" customFormat="false" ht="15" hidden="false" customHeight="false" outlineLevel="0" collapsed="false">
      <c r="A27" s="12" t="s">
        <v>21</v>
      </c>
      <c r="B27" s="12" t="s">
        <v>191</v>
      </c>
      <c r="C27" s="12" t="s">
        <v>192</v>
      </c>
      <c r="D27" s="12" t="s">
        <v>193</v>
      </c>
      <c r="E27" s="12" t="s">
        <v>194</v>
      </c>
      <c r="F27" s="20" t="s">
        <v>99</v>
      </c>
      <c r="G27" s="13" t="s">
        <v>7</v>
      </c>
      <c r="H27" s="13"/>
      <c r="I27" s="12"/>
      <c r="J27" s="12"/>
      <c r="K27" s="12"/>
    </row>
    <row r="28" customFormat="false" ht="15" hidden="false" customHeight="false" outlineLevel="0" collapsed="false">
      <c r="A28" s="10" t="s">
        <v>21</v>
      </c>
      <c r="B28" s="10" t="s">
        <v>195</v>
      </c>
      <c r="C28" s="10" t="s">
        <v>196</v>
      </c>
      <c r="D28" s="10" t="s">
        <v>197</v>
      </c>
      <c r="E28" s="10" t="s">
        <v>198</v>
      </c>
      <c r="F28" s="21" t="s">
        <v>108</v>
      </c>
      <c r="G28" s="11" t="s">
        <v>7</v>
      </c>
      <c r="H28" s="11"/>
      <c r="I28" s="10"/>
      <c r="J28" s="10"/>
      <c r="K28" s="10"/>
    </row>
    <row r="29" customFormat="false" ht="15" hidden="false" customHeight="false" outlineLevel="0" collapsed="false">
      <c r="A29" s="12" t="s">
        <v>21</v>
      </c>
      <c r="B29" s="12" t="s">
        <v>199</v>
      </c>
      <c r="C29" s="12" t="s">
        <v>200</v>
      </c>
      <c r="D29" s="12" t="s">
        <v>201</v>
      </c>
      <c r="E29" s="12" t="s">
        <v>202</v>
      </c>
      <c r="F29" s="21" t="s">
        <v>108</v>
      </c>
      <c r="G29" s="13" t="s">
        <v>7</v>
      </c>
      <c r="H29" s="13"/>
      <c r="I29" s="12"/>
      <c r="J29" s="12"/>
      <c r="K29" s="12"/>
    </row>
    <row r="30" customFormat="false" ht="15" hidden="false" customHeight="false" outlineLevel="0" collapsed="false">
      <c r="A30" s="10" t="s">
        <v>21</v>
      </c>
      <c r="B30" s="10" t="s">
        <v>203</v>
      </c>
      <c r="C30" s="10" t="s">
        <v>204</v>
      </c>
      <c r="D30" s="10" t="s">
        <v>205</v>
      </c>
      <c r="E30" s="10" t="s">
        <v>206</v>
      </c>
      <c r="F30" s="21" t="s">
        <v>108</v>
      </c>
      <c r="G30" s="11" t="s">
        <v>7</v>
      </c>
      <c r="H30" s="11"/>
      <c r="I30" s="10"/>
      <c r="J30" s="10"/>
      <c r="K30" s="10"/>
    </row>
    <row r="31" customFormat="false" ht="15" hidden="false" customHeight="false" outlineLevel="0" collapsed="false">
      <c r="A31" s="12" t="s">
        <v>21</v>
      </c>
      <c r="B31" s="12" t="s">
        <v>207</v>
      </c>
      <c r="C31" s="12" t="s">
        <v>208</v>
      </c>
      <c r="D31" s="12" t="s">
        <v>209</v>
      </c>
      <c r="E31" s="12" t="s">
        <v>210</v>
      </c>
      <c r="F31" s="13" t="s">
        <v>117</v>
      </c>
      <c r="G31" s="13" t="s">
        <v>7</v>
      </c>
      <c r="H31" s="13"/>
      <c r="I31" s="12"/>
      <c r="J31" s="12"/>
      <c r="K31" s="12"/>
    </row>
    <row r="32" customFormat="false" ht="15" hidden="false" customHeight="false" outlineLevel="0" collapsed="false">
      <c r="A32" s="10" t="s">
        <v>21</v>
      </c>
      <c r="B32" s="10" t="s">
        <v>211</v>
      </c>
      <c r="C32" s="10" t="s">
        <v>212</v>
      </c>
      <c r="D32" s="10" t="s">
        <v>213</v>
      </c>
      <c r="E32" s="10" t="s">
        <v>214</v>
      </c>
      <c r="F32" s="21" t="s">
        <v>108</v>
      </c>
      <c r="G32" s="11" t="s">
        <v>7</v>
      </c>
      <c r="H32" s="11"/>
      <c r="I32" s="10"/>
      <c r="J32" s="10"/>
      <c r="K32" s="10"/>
    </row>
    <row r="33" customFormat="false" ht="15" hidden="false" customHeight="false" outlineLevel="0" collapsed="false">
      <c r="A33" s="12" t="s">
        <v>24</v>
      </c>
      <c r="B33" s="12" t="s">
        <v>215</v>
      </c>
      <c r="C33" s="12" t="s">
        <v>216</v>
      </c>
      <c r="D33" s="12" t="s">
        <v>217</v>
      </c>
      <c r="E33" s="12" t="s">
        <v>218</v>
      </c>
      <c r="F33" s="20" t="s">
        <v>99</v>
      </c>
      <c r="G33" s="13" t="s">
        <v>7</v>
      </c>
      <c r="H33" s="13"/>
      <c r="I33" s="12"/>
      <c r="J33" s="12"/>
      <c r="K33" s="12"/>
    </row>
    <row r="34" customFormat="false" ht="15" hidden="false" customHeight="false" outlineLevel="0" collapsed="false">
      <c r="A34" s="10" t="s">
        <v>24</v>
      </c>
      <c r="B34" s="10" t="s">
        <v>219</v>
      </c>
      <c r="C34" s="10" t="s">
        <v>220</v>
      </c>
      <c r="D34" s="10" t="s">
        <v>221</v>
      </c>
      <c r="E34" s="10" t="s">
        <v>222</v>
      </c>
      <c r="F34" s="20" t="s">
        <v>99</v>
      </c>
      <c r="G34" s="11" t="s">
        <v>7</v>
      </c>
      <c r="H34" s="11"/>
      <c r="I34" s="10"/>
      <c r="J34" s="10"/>
      <c r="K34" s="10"/>
    </row>
    <row r="35" customFormat="false" ht="15" hidden="false" customHeight="false" outlineLevel="0" collapsed="false">
      <c r="A35" s="12" t="s">
        <v>24</v>
      </c>
      <c r="B35" s="12" t="s">
        <v>223</v>
      </c>
      <c r="C35" s="12" t="s">
        <v>224</v>
      </c>
      <c r="D35" s="12" t="s">
        <v>225</v>
      </c>
      <c r="E35" s="12" t="s">
        <v>226</v>
      </c>
      <c r="F35" s="20" t="s">
        <v>99</v>
      </c>
      <c r="G35" s="13" t="s">
        <v>7</v>
      </c>
      <c r="H35" s="13"/>
      <c r="I35" s="12"/>
      <c r="J35" s="12"/>
      <c r="K35" s="12"/>
    </row>
    <row r="36" customFormat="false" ht="15" hidden="false" customHeight="false" outlineLevel="0" collapsed="false">
      <c r="A36" s="10" t="s">
        <v>24</v>
      </c>
      <c r="B36" s="10" t="s">
        <v>227</v>
      </c>
      <c r="C36" s="10" t="s">
        <v>228</v>
      </c>
      <c r="D36" s="10" t="s">
        <v>229</v>
      </c>
      <c r="E36" s="10" t="s">
        <v>230</v>
      </c>
      <c r="F36" s="20" t="s">
        <v>99</v>
      </c>
      <c r="G36" s="11" t="s">
        <v>7</v>
      </c>
      <c r="H36" s="11"/>
      <c r="I36" s="10"/>
      <c r="J36" s="10"/>
      <c r="K36" s="10"/>
    </row>
    <row r="37" customFormat="false" ht="15" hidden="false" customHeight="false" outlineLevel="0" collapsed="false">
      <c r="A37" s="12" t="s">
        <v>24</v>
      </c>
      <c r="B37" s="12" t="s">
        <v>231</v>
      </c>
      <c r="C37" s="12" t="s">
        <v>232</v>
      </c>
      <c r="D37" s="12" t="s">
        <v>233</v>
      </c>
      <c r="E37" s="12" t="s">
        <v>234</v>
      </c>
      <c r="F37" s="21" t="s">
        <v>108</v>
      </c>
      <c r="G37" s="13" t="s">
        <v>7</v>
      </c>
      <c r="H37" s="13"/>
      <c r="I37" s="12"/>
      <c r="J37" s="12"/>
      <c r="K37" s="12"/>
    </row>
    <row r="38" customFormat="false" ht="15" hidden="false" customHeight="false" outlineLevel="0" collapsed="false">
      <c r="A38" s="10" t="s">
        <v>24</v>
      </c>
      <c r="B38" s="10" t="s">
        <v>235</v>
      </c>
      <c r="C38" s="10" t="s">
        <v>236</v>
      </c>
      <c r="D38" s="10" t="s">
        <v>237</v>
      </c>
      <c r="E38" s="10" t="s">
        <v>238</v>
      </c>
      <c r="F38" s="21" t="s">
        <v>108</v>
      </c>
      <c r="G38" s="11" t="s">
        <v>7</v>
      </c>
      <c r="H38" s="11"/>
      <c r="I38" s="10"/>
      <c r="J38" s="10"/>
      <c r="K38" s="10"/>
    </row>
    <row r="39" customFormat="false" ht="15" hidden="false" customHeight="false" outlineLevel="0" collapsed="false">
      <c r="A39" s="12" t="s">
        <v>24</v>
      </c>
      <c r="B39" s="12" t="s">
        <v>239</v>
      </c>
      <c r="C39" s="12" t="s">
        <v>240</v>
      </c>
      <c r="D39" s="12" t="s">
        <v>241</v>
      </c>
      <c r="E39" s="12" t="s">
        <v>242</v>
      </c>
      <c r="F39" s="13" t="s">
        <v>117</v>
      </c>
      <c r="G39" s="13" t="s">
        <v>7</v>
      </c>
      <c r="H39" s="13"/>
      <c r="I39" s="12"/>
      <c r="J39" s="12"/>
      <c r="K39" s="12"/>
    </row>
    <row r="40" customFormat="false" ht="15" hidden="false" customHeight="false" outlineLevel="0" collapsed="false">
      <c r="A40" s="10" t="s">
        <v>24</v>
      </c>
      <c r="B40" s="10" t="s">
        <v>243</v>
      </c>
      <c r="C40" s="10" t="s">
        <v>244</v>
      </c>
      <c r="D40" s="10" t="s">
        <v>245</v>
      </c>
      <c r="E40" s="10" t="s">
        <v>246</v>
      </c>
      <c r="F40" s="11" t="s">
        <v>117</v>
      </c>
      <c r="G40" s="11" t="s">
        <v>7</v>
      </c>
      <c r="H40" s="11"/>
      <c r="I40" s="10"/>
      <c r="J40" s="10"/>
      <c r="K40" s="10"/>
    </row>
    <row r="41" customFormat="false" ht="15" hidden="false" customHeight="false" outlineLevel="0" collapsed="false">
      <c r="A41" s="12" t="s">
        <v>24</v>
      </c>
      <c r="B41" s="12" t="s">
        <v>247</v>
      </c>
      <c r="C41" s="12" t="s">
        <v>248</v>
      </c>
      <c r="D41" s="12" t="s">
        <v>249</v>
      </c>
      <c r="E41" s="12" t="s">
        <v>250</v>
      </c>
      <c r="F41" s="13" t="s">
        <v>117</v>
      </c>
      <c r="G41" s="13" t="s">
        <v>7</v>
      </c>
      <c r="H41" s="13"/>
      <c r="I41" s="12"/>
      <c r="J41" s="12"/>
      <c r="K41" s="12"/>
    </row>
    <row r="42" customFormat="false" ht="15" hidden="false" customHeight="false" outlineLevel="0" collapsed="false">
      <c r="A42" s="10" t="s">
        <v>24</v>
      </c>
      <c r="B42" s="10" t="s">
        <v>251</v>
      </c>
      <c r="C42" s="10" t="s">
        <v>252</v>
      </c>
      <c r="D42" s="10" t="s">
        <v>253</v>
      </c>
      <c r="E42" s="10" t="s">
        <v>254</v>
      </c>
      <c r="F42" s="11" t="s">
        <v>117</v>
      </c>
      <c r="G42" s="11" t="s">
        <v>7</v>
      </c>
      <c r="H42" s="11"/>
      <c r="I42" s="10"/>
      <c r="J42" s="10"/>
      <c r="K42" s="10"/>
    </row>
    <row r="43" customFormat="false" ht="15" hidden="false" customHeight="false" outlineLevel="0" collapsed="false">
      <c r="A43" s="12" t="s">
        <v>24</v>
      </c>
      <c r="B43" s="12" t="s">
        <v>255</v>
      </c>
      <c r="C43" s="12" t="s">
        <v>256</v>
      </c>
      <c r="D43" s="12" t="s">
        <v>257</v>
      </c>
      <c r="E43" s="12" t="s">
        <v>258</v>
      </c>
      <c r="F43" s="13" t="s">
        <v>117</v>
      </c>
      <c r="G43" s="13" t="s">
        <v>7</v>
      </c>
      <c r="H43" s="13"/>
      <c r="I43" s="12"/>
      <c r="J43" s="12"/>
      <c r="K43" s="12"/>
    </row>
    <row r="44" customFormat="false" ht="15" hidden="false" customHeight="false" outlineLevel="0" collapsed="false">
      <c r="A44" s="10" t="s">
        <v>24</v>
      </c>
      <c r="B44" s="10" t="s">
        <v>259</v>
      </c>
      <c r="C44" s="10" t="s">
        <v>260</v>
      </c>
      <c r="D44" s="10" t="s">
        <v>261</v>
      </c>
      <c r="E44" s="10" t="s">
        <v>262</v>
      </c>
      <c r="F44" s="11" t="s">
        <v>117</v>
      </c>
      <c r="G44" s="11" t="s">
        <v>7</v>
      </c>
      <c r="H44" s="11"/>
      <c r="I44" s="10"/>
      <c r="J44" s="10"/>
      <c r="K44" s="10"/>
    </row>
    <row r="45" customFormat="false" ht="15" hidden="false" customHeight="false" outlineLevel="0" collapsed="false">
      <c r="A45" s="12" t="s">
        <v>24</v>
      </c>
      <c r="B45" s="12" t="s">
        <v>263</v>
      </c>
      <c r="C45" s="12" t="s">
        <v>264</v>
      </c>
      <c r="D45" s="12" t="s">
        <v>265</v>
      </c>
      <c r="E45" s="12" t="s">
        <v>266</v>
      </c>
      <c r="F45" s="13" t="s">
        <v>117</v>
      </c>
      <c r="G45" s="13" t="s">
        <v>7</v>
      </c>
      <c r="H45" s="13"/>
      <c r="I45" s="12"/>
      <c r="J45" s="12"/>
      <c r="K45" s="12"/>
    </row>
    <row r="46" customFormat="false" ht="15" hidden="false" customHeight="false" outlineLevel="0" collapsed="false">
      <c r="A46" s="10" t="s">
        <v>24</v>
      </c>
      <c r="B46" s="10" t="s">
        <v>267</v>
      </c>
      <c r="C46" s="10" t="s">
        <v>268</v>
      </c>
      <c r="D46" s="10" t="s">
        <v>269</v>
      </c>
      <c r="E46" s="10" t="s">
        <v>270</v>
      </c>
      <c r="F46" s="11" t="s">
        <v>117</v>
      </c>
      <c r="G46" s="11" t="s">
        <v>7</v>
      </c>
      <c r="H46" s="11"/>
      <c r="I46" s="10"/>
      <c r="J46" s="10"/>
      <c r="K46" s="10"/>
    </row>
    <row r="47" customFormat="false" ht="15" hidden="false" customHeight="false" outlineLevel="0" collapsed="false">
      <c r="A47" s="12" t="s">
        <v>24</v>
      </c>
      <c r="B47" s="12" t="s">
        <v>271</v>
      </c>
      <c r="C47" s="12" t="s">
        <v>272</v>
      </c>
      <c r="D47" s="12" t="s">
        <v>273</v>
      </c>
      <c r="E47" s="12" t="s">
        <v>274</v>
      </c>
      <c r="F47" s="21" t="s">
        <v>108</v>
      </c>
      <c r="G47" s="13" t="s">
        <v>7</v>
      </c>
      <c r="H47" s="13"/>
      <c r="I47" s="12"/>
      <c r="J47" s="12"/>
      <c r="K47" s="12"/>
    </row>
    <row r="48" customFormat="false" ht="15" hidden="false" customHeight="false" outlineLevel="0" collapsed="false">
      <c r="A48" s="10" t="s">
        <v>24</v>
      </c>
      <c r="B48" s="10" t="s">
        <v>275</v>
      </c>
      <c r="C48" s="10" t="s">
        <v>276</v>
      </c>
      <c r="D48" s="10" t="s">
        <v>277</v>
      </c>
      <c r="E48" s="10" t="s">
        <v>278</v>
      </c>
      <c r="F48" s="11" t="s">
        <v>117</v>
      </c>
      <c r="G48" s="11" t="s">
        <v>7</v>
      </c>
      <c r="H48" s="11"/>
      <c r="I48" s="10"/>
      <c r="J48" s="10"/>
      <c r="K48" s="10"/>
    </row>
    <row r="49" customFormat="false" ht="15" hidden="false" customHeight="false" outlineLevel="0" collapsed="false">
      <c r="A49" s="12" t="s">
        <v>24</v>
      </c>
      <c r="B49" s="12" t="s">
        <v>279</v>
      </c>
      <c r="C49" s="12" t="s">
        <v>280</v>
      </c>
      <c r="D49" s="12" t="s">
        <v>281</v>
      </c>
      <c r="E49" s="12" t="s">
        <v>282</v>
      </c>
      <c r="F49" s="21" t="s">
        <v>108</v>
      </c>
      <c r="G49" s="13" t="s">
        <v>7</v>
      </c>
      <c r="H49" s="13"/>
      <c r="I49" s="12"/>
      <c r="J49" s="12"/>
      <c r="K49" s="12"/>
    </row>
    <row r="50" customFormat="false" ht="15" hidden="false" customHeight="false" outlineLevel="0" collapsed="false">
      <c r="A50" s="10" t="s">
        <v>24</v>
      </c>
      <c r="B50" s="10" t="s">
        <v>283</v>
      </c>
      <c r="C50" s="10" t="s">
        <v>284</v>
      </c>
      <c r="D50" s="10" t="s">
        <v>285</v>
      </c>
      <c r="E50" s="10" t="s">
        <v>286</v>
      </c>
      <c r="F50" s="21" t="s">
        <v>108</v>
      </c>
      <c r="G50" s="11" t="s">
        <v>7</v>
      </c>
      <c r="H50" s="11"/>
      <c r="I50" s="10"/>
      <c r="J50" s="10"/>
      <c r="K50" s="10"/>
    </row>
    <row r="51" customFormat="false" ht="15" hidden="false" customHeight="false" outlineLevel="0" collapsed="false">
      <c r="A51" s="12" t="s">
        <v>24</v>
      </c>
      <c r="B51" s="12" t="s">
        <v>287</v>
      </c>
      <c r="C51" s="12" t="s">
        <v>288</v>
      </c>
      <c r="D51" s="12" t="s">
        <v>289</v>
      </c>
      <c r="E51" s="12" t="s">
        <v>290</v>
      </c>
      <c r="F51" s="13" t="s">
        <v>117</v>
      </c>
      <c r="G51" s="13" t="s">
        <v>7</v>
      </c>
      <c r="H51" s="13"/>
      <c r="I51" s="12"/>
      <c r="J51" s="12"/>
      <c r="K51" s="12"/>
    </row>
    <row r="52" customFormat="false" ht="15" hidden="false" customHeight="false" outlineLevel="0" collapsed="false">
      <c r="A52" s="10" t="s">
        <v>27</v>
      </c>
      <c r="B52" s="10" t="s">
        <v>291</v>
      </c>
      <c r="C52" s="10" t="s">
        <v>292</v>
      </c>
      <c r="D52" s="10" t="s">
        <v>293</v>
      </c>
      <c r="E52" s="10" t="s">
        <v>294</v>
      </c>
      <c r="F52" s="20" t="s">
        <v>99</v>
      </c>
      <c r="G52" s="11" t="s">
        <v>7</v>
      </c>
      <c r="H52" s="11"/>
      <c r="I52" s="10"/>
      <c r="J52" s="10"/>
      <c r="K52" s="10"/>
    </row>
    <row r="53" customFormat="false" ht="15" hidden="false" customHeight="false" outlineLevel="0" collapsed="false">
      <c r="A53" s="12" t="s">
        <v>27</v>
      </c>
      <c r="B53" s="12" t="s">
        <v>295</v>
      </c>
      <c r="C53" s="12" t="s">
        <v>296</v>
      </c>
      <c r="D53" s="12" t="s">
        <v>297</v>
      </c>
      <c r="E53" s="12" t="s">
        <v>298</v>
      </c>
      <c r="F53" s="20" t="s">
        <v>99</v>
      </c>
      <c r="G53" s="13" t="s">
        <v>7</v>
      </c>
      <c r="H53" s="13"/>
      <c r="I53" s="12"/>
      <c r="J53" s="12"/>
      <c r="K53" s="12"/>
    </row>
    <row r="54" customFormat="false" ht="15" hidden="false" customHeight="false" outlineLevel="0" collapsed="false">
      <c r="A54" s="10" t="s">
        <v>27</v>
      </c>
      <c r="B54" s="10" t="s">
        <v>299</v>
      </c>
      <c r="C54" s="10" t="s">
        <v>300</v>
      </c>
      <c r="D54" s="10" t="s">
        <v>301</v>
      </c>
      <c r="E54" s="10" t="s">
        <v>302</v>
      </c>
      <c r="F54" s="21" t="s">
        <v>108</v>
      </c>
      <c r="G54" s="11" t="s">
        <v>7</v>
      </c>
      <c r="H54" s="11"/>
      <c r="I54" s="10"/>
      <c r="J54" s="10"/>
      <c r="K54" s="10"/>
    </row>
    <row r="55" customFormat="false" ht="15" hidden="false" customHeight="false" outlineLevel="0" collapsed="false">
      <c r="A55" s="12" t="s">
        <v>27</v>
      </c>
      <c r="B55" s="12" t="s">
        <v>303</v>
      </c>
      <c r="C55" s="12" t="s">
        <v>304</v>
      </c>
      <c r="D55" s="12" t="s">
        <v>305</v>
      </c>
      <c r="E55" s="12" t="s">
        <v>306</v>
      </c>
      <c r="F55" s="21" t="s">
        <v>108</v>
      </c>
      <c r="G55" s="13" t="s">
        <v>7</v>
      </c>
      <c r="H55" s="13"/>
      <c r="I55" s="12"/>
      <c r="J55" s="12"/>
      <c r="K55" s="12"/>
    </row>
    <row r="56" customFormat="false" ht="15" hidden="false" customHeight="false" outlineLevel="0" collapsed="false">
      <c r="A56" s="10" t="s">
        <v>27</v>
      </c>
      <c r="B56" s="10" t="s">
        <v>307</v>
      </c>
      <c r="C56" s="10" t="s">
        <v>308</v>
      </c>
      <c r="D56" s="10" t="s">
        <v>309</v>
      </c>
      <c r="E56" s="10" t="s">
        <v>310</v>
      </c>
      <c r="F56" s="11" t="s">
        <v>117</v>
      </c>
      <c r="G56" s="11" t="s">
        <v>7</v>
      </c>
      <c r="H56" s="11"/>
      <c r="I56" s="10"/>
      <c r="J56" s="10"/>
      <c r="K56" s="10"/>
    </row>
    <row r="57" customFormat="false" ht="15" hidden="false" customHeight="false" outlineLevel="0" collapsed="false">
      <c r="A57" s="12" t="s">
        <v>27</v>
      </c>
      <c r="B57" s="12" t="s">
        <v>311</v>
      </c>
      <c r="C57" s="12" t="s">
        <v>312</v>
      </c>
      <c r="D57" s="12" t="s">
        <v>313</v>
      </c>
      <c r="E57" s="12" t="s">
        <v>314</v>
      </c>
      <c r="F57" s="20" t="s">
        <v>99</v>
      </c>
      <c r="G57" s="13" t="s">
        <v>7</v>
      </c>
      <c r="H57" s="13"/>
      <c r="I57" s="12"/>
      <c r="J57" s="12"/>
      <c r="K57" s="12"/>
    </row>
    <row r="58" customFormat="false" ht="15" hidden="false" customHeight="false" outlineLevel="0" collapsed="false">
      <c r="A58" s="10" t="s">
        <v>27</v>
      </c>
      <c r="B58" s="10" t="s">
        <v>315</v>
      </c>
      <c r="C58" s="10" t="s">
        <v>316</v>
      </c>
      <c r="D58" s="10" t="s">
        <v>317</v>
      </c>
      <c r="E58" s="10" t="s">
        <v>318</v>
      </c>
      <c r="F58" s="21" t="s">
        <v>108</v>
      </c>
      <c r="G58" s="11" t="s">
        <v>7</v>
      </c>
      <c r="H58" s="11"/>
      <c r="I58" s="10"/>
      <c r="J58" s="10"/>
      <c r="K58" s="10"/>
    </row>
    <row r="59" customFormat="false" ht="15" hidden="false" customHeight="false" outlineLevel="0" collapsed="false">
      <c r="A59" s="12" t="s">
        <v>27</v>
      </c>
      <c r="B59" s="12" t="s">
        <v>319</v>
      </c>
      <c r="C59" s="12" t="s">
        <v>320</v>
      </c>
      <c r="D59" s="12" t="s">
        <v>321</v>
      </c>
      <c r="E59" s="12" t="s">
        <v>322</v>
      </c>
      <c r="F59" s="21" t="s">
        <v>108</v>
      </c>
      <c r="G59" s="13" t="s">
        <v>7</v>
      </c>
      <c r="H59" s="13"/>
      <c r="I59" s="12"/>
      <c r="J59" s="12"/>
      <c r="K59" s="12"/>
    </row>
    <row r="60" customFormat="false" ht="15" hidden="false" customHeight="false" outlineLevel="0" collapsed="false">
      <c r="A60" s="10" t="s">
        <v>27</v>
      </c>
      <c r="B60" s="10" t="s">
        <v>323</v>
      </c>
      <c r="C60" s="10" t="s">
        <v>324</v>
      </c>
      <c r="D60" s="10" t="s">
        <v>325</v>
      </c>
      <c r="E60" s="10" t="s">
        <v>326</v>
      </c>
      <c r="F60" s="20" t="s">
        <v>99</v>
      </c>
      <c r="G60" s="11" t="s">
        <v>7</v>
      </c>
      <c r="H60" s="11"/>
      <c r="I60" s="10"/>
      <c r="J60" s="10"/>
      <c r="K60" s="10"/>
    </row>
    <row r="61" customFormat="false" ht="15" hidden="false" customHeight="false" outlineLevel="0" collapsed="false">
      <c r="A61" s="12" t="s">
        <v>27</v>
      </c>
      <c r="B61" s="12" t="s">
        <v>327</v>
      </c>
      <c r="C61" s="12" t="s">
        <v>328</v>
      </c>
      <c r="D61" s="12" t="s">
        <v>329</v>
      </c>
      <c r="E61" s="12" t="s">
        <v>330</v>
      </c>
      <c r="F61" s="21" t="s">
        <v>108</v>
      </c>
      <c r="G61" s="13" t="s">
        <v>7</v>
      </c>
      <c r="H61" s="13"/>
      <c r="I61" s="12"/>
      <c r="J61" s="12"/>
      <c r="K61" s="12"/>
    </row>
    <row r="62" customFormat="false" ht="15" hidden="false" customHeight="false" outlineLevel="0" collapsed="false">
      <c r="A62" s="10" t="s">
        <v>27</v>
      </c>
      <c r="B62" s="10" t="s">
        <v>331</v>
      </c>
      <c r="C62" s="10" t="s">
        <v>332</v>
      </c>
      <c r="D62" s="10" t="s">
        <v>333</v>
      </c>
      <c r="E62" s="10" t="s">
        <v>334</v>
      </c>
      <c r="F62" s="11" t="s">
        <v>117</v>
      </c>
      <c r="G62" s="11" t="s">
        <v>7</v>
      </c>
      <c r="H62" s="11"/>
      <c r="I62" s="10"/>
      <c r="J62" s="10"/>
      <c r="K62" s="10"/>
    </row>
    <row r="63" customFormat="false" ht="15" hidden="false" customHeight="false" outlineLevel="0" collapsed="false">
      <c r="A63" s="12" t="s">
        <v>27</v>
      </c>
      <c r="B63" s="12" t="s">
        <v>335</v>
      </c>
      <c r="C63" s="12" t="s">
        <v>336</v>
      </c>
      <c r="D63" s="12" t="s">
        <v>337</v>
      </c>
      <c r="E63" s="12" t="s">
        <v>338</v>
      </c>
      <c r="F63" s="13" t="s">
        <v>117</v>
      </c>
      <c r="G63" s="13" t="s">
        <v>7</v>
      </c>
      <c r="H63" s="13"/>
      <c r="I63" s="12"/>
      <c r="J63" s="12"/>
      <c r="K63" s="12"/>
    </row>
    <row r="64" customFormat="false" ht="15" hidden="false" customHeight="false" outlineLevel="0" collapsed="false">
      <c r="A64" s="10" t="s">
        <v>30</v>
      </c>
      <c r="B64" s="10" t="s">
        <v>339</v>
      </c>
      <c r="C64" s="10" t="s">
        <v>340</v>
      </c>
      <c r="D64" s="10" t="s">
        <v>341</v>
      </c>
      <c r="E64" s="10" t="s">
        <v>342</v>
      </c>
      <c r="F64" s="21" t="s">
        <v>108</v>
      </c>
      <c r="G64" s="11" t="s">
        <v>7</v>
      </c>
      <c r="H64" s="11"/>
      <c r="I64" s="10"/>
      <c r="J64" s="10"/>
      <c r="K64" s="10"/>
    </row>
    <row r="65" customFormat="false" ht="15" hidden="false" customHeight="false" outlineLevel="0" collapsed="false">
      <c r="A65" s="12" t="s">
        <v>30</v>
      </c>
      <c r="B65" s="12" t="s">
        <v>343</v>
      </c>
      <c r="C65" s="12" t="s">
        <v>344</v>
      </c>
      <c r="D65" s="12" t="s">
        <v>345</v>
      </c>
      <c r="E65" s="12" t="s">
        <v>346</v>
      </c>
      <c r="F65" s="21" t="s">
        <v>108</v>
      </c>
      <c r="G65" s="13" t="s">
        <v>7</v>
      </c>
      <c r="H65" s="13"/>
      <c r="I65" s="12"/>
      <c r="J65" s="12"/>
      <c r="K65" s="12"/>
    </row>
    <row r="66" customFormat="false" ht="15" hidden="false" customHeight="false" outlineLevel="0" collapsed="false">
      <c r="A66" s="10" t="s">
        <v>30</v>
      </c>
      <c r="B66" s="10" t="s">
        <v>347</v>
      </c>
      <c r="C66" s="10" t="s">
        <v>348</v>
      </c>
      <c r="D66" s="10" t="s">
        <v>349</v>
      </c>
      <c r="E66" s="10" t="s">
        <v>350</v>
      </c>
      <c r="F66" s="21" t="s">
        <v>108</v>
      </c>
      <c r="G66" s="11" t="s">
        <v>7</v>
      </c>
      <c r="H66" s="11"/>
      <c r="I66" s="10"/>
      <c r="J66" s="10"/>
      <c r="K66" s="10"/>
    </row>
    <row r="67" customFormat="false" ht="15" hidden="false" customHeight="false" outlineLevel="0" collapsed="false">
      <c r="A67" s="12" t="s">
        <v>30</v>
      </c>
      <c r="B67" s="12" t="s">
        <v>351</v>
      </c>
      <c r="C67" s="12" t="s">
        <v>352</v>
      </c>
      <c r="D67" s="12" t="s">
        <v>353</v>
      </c>
      <c r="E67" s="12" t="s">
        <v>354</v>
      </c>
      <c r="F67" s="13" t="s">
        <v>117</v>
      </c>
      <c r="G67" s="13" t="s">
        <v>7</v>
      </c>
      <c r="H67" s="13"/>
      <c r="I67" s="12"/>
      <c r="J67" s="12"/>
      <c r="K67" s="12"/>
    </row>
    <row r="68" customFormat="false" ht="15" hidden="false" customHeight="false" outlineLevel="0" collapsed="false">
      <c r="A68" s="10" t="s">
        <v>33</v>
      </c>
      <c r="B68" s="10" t="s">
        <v>355</v>
      </c>
      <c r="C68" s="10" t="s">
        <v>356</v>
      </c>
      <c r="D68" s="10" t="s">
        <v>357</v>
      </c>
      <c r="E68" s="10" t="s">
        <v>358</v>
      </c>
      <c r="F68" s="21" t="s">
        <v>108</v>
      </c>
      <c r="G68" s="11" t="s">
        <v>7</v>
      </c>
      <c r="H68" s="11"/>
      <c r="I68" s="10"/>
      <c r="J68" s="10"/>
      <c r="K68" s="10"/>
    </row>
    <row r="69" customFormat="false" ht="15" hidden="false" customHeight="false" outlineLevel="0" collapsed="false">
      <c r="A69" s="12" t="s">
        <v>33</v>
      </c>
      <c r="B69" s="12" t="s">
        <v>359</v>
      </c>
      <c r="C69" s="12" t="s">
        <v>360</v>
      </c>
      <c r="D69" s="12" t="s">
        <v>361</v>
      </c>
      <c r="E69" s="12" t="s">
        <v>362</v>
      </c>
      <c r="F69" s="21" t="s">
        <v>108</v>
      </c>
      <c r="G69" s="13" t="s">
        <v>7</v>
      </c>
      <c r="H69" s="13"/>
      <c r="I69" s="12"/>
      <c r="J69" s="12"/>
      <c r="K69" s="12"/>
    </row>
    <row r="70" customFormat="false" ht="15" hidden="false" customHeight="false" outlineLevel="0" collapsed="false">
      <c r="A70" s="10" t="s">
        <v>33</v>
      </c>
      <c r="B70" s="10" t="s">
        <v>363</v>
      </c>
      <c r="C70" s="10" t="s">
        <v>364</v>
      </c>
      <c r="D70" s="10" t="s">
        <v>365</v>
      </c>
      <c r="E70" s="10" t="s">
        <v>366</v>
      </c>
      <c r="F70" s="21" t="s">
        <v>108</v>
      </c>
      <c r="G70" s="11" t="s">
        <v>7</v>
      </c>
      <c r="H70" s="11"/>
      <c r="I70" s="10"/>
      <c r="J70" s="10"/>
      <c r="K70" s="10"/>
    </row>
    <row r="71" customFormat="false" ht="15" hidden="false" customHeight="false" outlineLevel="0" collapsed="false">
      <c r="A71" s="12" t="s">
        <v>33</v>
      </c>
      <c r="B71" s="12" t="s">
        <v>367</v>
      </c>
      <c r="C71" s="12" t="s">
        <v>368</v>
      </c>
      <c r="D71" s="12" t="s">
        <v>369</v>
      </c>
      <c r="E71" s="12" t="s">
        <v>370</v>
      </c>
      <c r="F71" s="13" t="s">
        <v>117</v>
      </c>
      <c r="G71" s="13" t="s">
        <v>7</v>
      </c>
      <c r="H71" s="13"/>
      <c r="I71" s="12"/>
      <c r="J71" s="12"/>
      <c r="K71" s="12"/>
    </row>
    <row r="72" customFormat="false" ht="15" hidden="false" customHeight="false" outlineLevel="0" collapsed="false">
      <c r="A72" s="10" t="s">
        <v>33</v>
      </c>
      <c r="B72" s="10" t="s">
        <v>371</v>
      </c>
      <c r="C72" s="10" t="s">
        <v>372</v>
      </c>
      <c r="D72" s="10" t="s">
        <v>373</v>
      </c>
      <c r="E72" s="10" t="s">
        <v>374</v>
      </c>
      <c r="F72" s="11" t="s">
        <v>117</v>
      </c>
      <c r="G72" s="11" t="s">
        <v>7</v>
      </c>
      <c r="H72" s="11"/>
      <c r="I72" s="10"/>
      <c r="J72" s="10"/>
      <c r="K72" s="10"/>
    </row>
    <row r="73" customFormat="false" ht="15" hidden="false" customHeight="false" outlineLevel="0" collapsed="false">
      <c r="A73" s="12" t="s">
        <v>33</v>
      </c>
      <c r="B73" s="12" t="s">
        <v>375</v>
      </c>
      <c r="C73" s="12" t="s">
        <v>376</v>
      </c>
      <c r="D73" s="12" t="s">
        <v>377</v>
      </c>
      <c r="E73" s="12" t="s">
        <v>378</v>
      </c>
      <c r="F73" s="13" t="s">
        <v>117</v>
      </c>
      <c r="G73" s="13" t="s">
        <v>7</v>
      </c>
      <c r="H73" s="13"/>
      <c r="I73" s="12"/>
      <c r="J73" s="12"/>
      <c r="K73" s="12"/>
    </row>
    <row r="74" customFormat="false" ht="15" hidden="false" customHeight="false" outlineLevel="0" collapsed="false">
      <c r="A74" s="10" t="s">
        <v>33</v>
      </c>
      <c r="B74" s="10" t="s">
        <v>379</v>
      </c>
      <c r="C74" s="10" t="s">
        <v>380</v>
      </c>
      <c r="D74" s="10" t="s">
        <v>381</v>
      </c>
      <c r="E74" s="10" t="s">
        <v>382</v>
      </c>
      <c r="F74" s="11" t="s">
        <v>117</v>
      </c>
      <c r="G74" s="11" t="s">
        <v>7</v>
      </c>
      <c r="H74" s="11"/>
      <c r="I74" s="10"/>
      <c r="J74" s="10"/>
      <c r="K74" s="10"/>
    </row>
    <row r="75" customFormat="false" ht="15" hidden="false" customHeight="false" outlineLevel="0" collapsed="false">
      <c r="A75" s="12" t="s">
        <v>36</v>
      </c>
      <c r="B75" s="12" t="s">
        <v>383</v>
      </c>
      <c r="C75" s="12" t="s">
        <v>384</v>
      </c>
      <c r="D75" s="12" t="s">
        <v>385</v>
      </c>
      <c r="E75" s="12" t="s">
        <v>386</v>
      </c>
      <c r="F75" s="20" t="s">
        <v>99</v>
      </c>
      <c r="G75" s="13" t="s">
        <v>7</v>
      </c>
      <c r="H75" s="13"/>
      <c r="I75" s="12"/>
      <c r="J75" s="12"/>
      <c r="K75" s="12"/>
    </row>
    <row r="76" customFormat="false" ht="15" hidden="false" customHeight="false" outlineLevel="0" collapsed="false">
      <c r="A76" s="10" t="s">
        <v>36</v>
      </c>
      <c r="B76" s="10" t="s">
        <v>387</v>
      </c>
      <c r="C76" s="10" t="s">
        <v>388</v>
      </c>
      <c r="D76" s="10" t="s">
        <v>389</v>
      </c>
      <c r="E76" s="10" t="s">
        <v>390</v>
      </c>
      <c r="F76" s="20" t="s">
        <v>99</v>
      </c>
      <c r="G76" s="11" t="s">
        <v>7</v>
      </c>
      <c r="H76" s="11"/>
      <c r="I76" s="10"/>
      <c r="J76" s="10"/>
      <c r="K76" s="10"/>
    </row>
    <row r="77" customFormat="false" ht="15" hidden="false" customHeight="false" outlineLevel="0" collapsed="false">
      <c r="A77" s="12" t="s">
        <v>36</v>
      </c>
      <c r="B77" s="12" t="s">
        <v>391</v>
      </c>
      <c r="C77" s="12" t="s">
        <v>392</v>
      </c>
      <c r="D77" s="12" t="s">
        <v>393</v>
      </c>
      <c r="E77" s="12" t="s">
        <v>394</v>
      </c>
      <c r="F77" s="21" t="s">
        <v>108</v>
      </c>
      <c r="G77" s="13" t="s">
        <v>7</v>
      </c>
      <c r="H77" s="13"/>
      <c r="I77" s="12"/>
      <c r="J77" s="12"/>
      <c r="K77" s="12"/>
    </row>
    <row r="78" customFormat="false" ht="15" hidden="false" customHeight="false" outlineLevel="0" collapsed="false">
      <c r="A78" s="10" t="s">
        <v>36</v>
      </c>
      <c r="B78" s="10" t="s">
        <v>395</v>
      </c>
      <c r="C78" s="10" t="s">
        <v>396</v>
      </c>
      <c r="D78" s="10" t="s">
        <v>397</v>
      </c>
      <c r="E78" s="10" t="s">
        <v>398</v>
      </c>
      <c r="F78" s="21" t="s">
        <v>108</v>
      </c>
      <c r="G78" s="11" t="s">
        <v>7</v>
      </c>
      <c r="H78" s="11"/>
      <c r="I78" s="10"/>
      <c r="J78" s="10"/>
      <c r="K78" s="10"/>
    </row>
    <row r="79" customFormat="false" ht="15" hidden="false" customHeight="false" outlineLevel="0" collapsed="false">
      <c r="A79" s="12" t="s">
        <v>39</v>
      </c>
      <c r="B79" s="12" t="s">
        <v>399</v>
      </c>
      <c r="C79" s="12" t="s">
        <v>400</v>
      </c>
      <c r="D79" s="12" t="s">
        <v>401</v>
      </c>
      <c r="E79" s="12" t="s">
        <v>402</v>
      </c>
      <c r="F79" s="21" t="s">
        <v>108</v>
      </c>
      <c r="G79" s="13" t="s">
        <v>7</v>
      </c>
      <c r="H79" s="13"/>
      <c r="I79" s="12"/>
      <c r="J79" s="12"/>
      <c r="K79" s="12"/>
    </row>
    <row r="80" customFormat="false" ht="15" hidden="false" customHeight="false" outlineLevel="0" collapsed="false">
      <c r="A80" s="10" t="s">
        <v>39</v>
      </c>
      <c r="B80" s="10" t="s">
        <v>403</v>
      </c>
      <c r="C80" s="10" t="s">
        <v>404</v>
      </c>
      <c r="D80" s="10" t="s">
        <v>405</v>
      </c>
      <c r="E80" s="10" t="s">
        <v>406</v>
      </c>
      <c r="F80" s="21" t="s">
        <v>108</v>
      </c>
      <c r="G80" s="11" t="s">
        <v>7</v>
      </c>
      <c r="H80" s="11"/>
      <c r="I80" s="10"/>
      <c r="J80" s="10"/>
      <c r="K80" s="10"/>
    </row>
    <row r="81" customFormat="false" ht="15" hidden="false" customHeight="false" outlineLevel="0" collapsed="false">
      <c r="A81" s="12" t="s">
        <v>39</v>
      </c>
      <c r="B81" s="12" t="s">
        <v>407</v>
      </c>
      <c r="C81" s="12" t="s">
        <v>408</v>
      </c>
      <c r="D81" s="12" t="s">
        <v>409</v>
      </c>
      <c r="E81" s="12" t="s">
        <v>410</v>
      </c>
      <c r="F81" s="21" t="s">
        <v>108</v>
      </c>
      <c r="G81" s="13" t="s">
        <v>7</v>
      </c>
      <c r="H81" s="13"/>
      <c r="I81" s="12"/>
      <c r="J81" s="12"/>
      <c r="K81" s="12"/>
    </row>
    <row r="82" customFormat="false" ht="15" hidden="false" customHeight="false" outlineLevel="0" collapsed="false">
      <c r="A82" s="10" t="s">
        <v>39</v>
      </c>
      <c r="B82" s="10" t="s">
        <v>411</v>
      </c>
      <c r="C82" s="10" t="s">
        <v>412</v>
      </c>
      <c r="D82" s="10" t="s">
        <v>413</v>
      </c>
      <c r="E82" s="10" t="s">
        <v>414</v>
      </c>
      <c r="F82" s="20" t="s">
        <v>99</v>
      </c>
      <c r="G82" s="11" t="s">
        <v>7</v>
      </c>
      <c r="H82" s="11"/>
      <c r="I82" s="10"/>
      <c r="J82" s="10"/>
      <c r="K82" s="10"/>
    </row>
    <row r="83" customFormat="false" ht="15" hidden="false" customHeight="false" outlineLevel="0" collapsed="false">
      <c r="A83" s="12" t="s">
        <v>39</v>
      </c>
      <c r="B83" s="12" t="s">
        <v>415</v>
      </c>
      <c r="C83" s="12" t="s">
        <v>416</v>
      </c>
      <c r="D83" s="12" t="s">
        <v>417</v>
      </c>
      <c r="E83" s="12" t="s">
        <v>418</v>
      </c>
      <c r="F83" s="13" t="s">
        <v>117</v>
      </c>
      <c r="G83" s="13" t="s">
        <v>7</v>
      </c>
      <c r="H83" s="13"/>
      <c r="I83" s="12"/>
      <c r="J83" s="12"/>
      <c r="K83" s="12"/>
    </row>
    <row r="84" customFormat="false" ht="15" hidden="false" customHeight="false" outlineLevel="0" collapsed="false">
      <c r="A84" s="10" t="s">
        <v>39</v>
      </c>
      <c r="B84" s="10" t="s">
        <v>419</v>
      </c>
      <c r="C84" s="10" t="s">
        <v>420</v>
      </c>
      <c r="D84" s="10" t="s">
        <v>421</v>
      </c>
      <c r="E84" s="10" t="s">
        <v>422</v>
      </c>
      <c r="F84" s="11" t="s">
        <v>117</v>
      </c>
      <c r="G84" s="11" t="s">
        <v>7</v>
      </c>
      <c r="H84" s="11"/>
      <c r="I84" s="10"/>
      <c r="J84" s="10"/>
      <c r="K84" s="10"/>
    </row>
    <row r="85" customFormat="false" ht="15" hidden="false" customHeight="false" outlineLevel="0" collapsed="false">
      <c r="A85" s="12" t="s">
        <v>39</v>
      </c>
      <c r="B85" s="12" t="s">
        <v>423</v>
      </c>
      <c r="C85" s="12" t="s">
        <v>424</v>
      </c>
      <c r="D85" s="12" t="s">
        <v>425</v>
      </c>
      <c r="E85" s="12" t="s">
        <v>426</v>
      </c>
      <c r="F85" s="21" t="s">
        <v>108</v>
      </c>
      <c r="G85" s="13" t="s">
        <v>7</v>
      </c>
      <c r="H85" s="13"/>
      <c r="I85" s="12"/>
      <c r="J85" s="12"/>
      <c r="K85" s="12"/>
    </row>
    <row r="86" customFormat="false" ht="15" hidden="false" customHeight="false" outlineLevel="0" collapsed="false">
      <c r="A86" s="10" t="s">
        <v>39</v>
      </c>
      <c r="B86" s="10" t="s">
        <v>427</v>
      </c>
      <c r="C86" s="10" t="s">
        <v>428</v>
      </c>
      <c r="D86" s="10" t="s">
        <v>429</v>
      </c>
      <c r="E86" s="10" t="s">
        <v>430</v>
      </c>
      <c r="F86" s="21" t="s">
        <v>108</v>
      </c>
      <c r="G86" s="11" t="s">
        <v>7</v>
      </c>
      <c r="H86" s="11"/>
      <c r="I86" s="10"/>
      <c r="J86" s="10"/>
      <c r="K86" s="10"/>
    </row>
    <row r="87" customFormat="false" ht="15" hidden="false" customHeight="false" outlineLevel="0" collapsed="false">
      <c r="A87" s="12" t="s">
        <v>42</v>
      </c>
      <c r="B87" s="12" t="s">
        <v>431</v>
      </c>
      <c r="C87" s="12" t="s">
        <v>432</v>
      </c>
      <c r="D87" s="12" t="s">
        <v>433</v>
      </c>
      <c r="E87" s="12" t="s">
        <v>434</v>
      </c>
      <c r="F87" s="21" t="s">
        <v>108</v>
      </c>
      <c r="G87" s="13" t="s">
        <v>7</v>
      </c>
      <c r="H87" s="13"/>
      <c r="I87" s="12"/>
      <c r="J87" s="12"/>
      <c r="K87" s="12"/>
    </row>
    <row r="88" customFormat="false" ht="15" hidden="false" customHeight="false" outlineLevel="0" collapsed="false">
      <c r="A88" s="10" t="s">
        <v>42</v>
      </c>
      <c r="B88" s="10" t="s">
        <v>435</v>
      </c>
      <c r="C88" s="10" t="s">
        <v>436</v>
      </c>
      <c r="D88" s="10" t="s">
        <v>437</v>
      </c>
      <c r="E88" s="10" t="s">
        <v>438</v>
      </c>
      <c r="F88" s="21" t="s">
        <v>108</v>
      </c>
      <c r="G88" s="11" t="s">
        <v>7</v>
      </c>
      <c r="H88" s="11"/>
      <c r="I88" s="10"/>
      <c r="J88" s="10"/>
      <c r="K88" s="10"/>
    </row>
    <row r="89" customFormat="false" ht="15" hidden="false" customHeight="false" outlineLevel="0" collapsed="false">
      <c r="A89" s="12" t="s">
        <v>42</v>
      </c>
      <c r="B89" s="12" t="s">
        <v>439</v>
      </c>
      <c r="C89" s="12" t="s">
        <v>440</v>
      </c>
      <c r="D89" s="12" t="s">
        <v>441</v>
      </c>
      <c r="E89" s="12" t="s">
        <v>442</v>
      </c>
      <c r="F89" s="13" t="s">
        <v>117</v>
      </c>
      <c r="G89" s="13" t="s">
        <v>7</v>
      </c>
      <c r="H89" s="13"/>
      <c r="I89" s="12"/>
      <c r="J89" s="12"/>
      <c r="K89" s="12"/>
    </row>
    <row r="90" customFormat="false" ht="15" hidden="false" customHeight="false" outlineLevel="0" collapsed="false">
      <c r="A90" s="10" t="s">
        <v>42</v>
      </c>
      <c r="B90" s="10" t="s">
        <v>443</v>
      </c>
      <c r="C90" s="10" t="s">
        <v>444</v>
      </c>
      <c r="D90" s="10" t="s">
        <v>445</v>
      </c>
      <c r="E90" s="10" t="s">
        <v>446</v>
      </c>
      <c r="F90" s="21" t="s">
        <v>108</v>
      </c>
      <c r="G90" s="11" t="s">
        <v>7</v>
      </c>
      <c r="H90" s="11"/>
      <c r="I90" s="10"/>
      <c r="J90" s="10"/>
      <c r="K90" s="10"/>
    </row>
    <row r="91" customFormat="false" ht="15" hidden="false" customHeight="false" outlineLevel="0" collapsed="false">
      <c r="A91" s="12" t="s">
        <v>42</v>
      </c>
      <c r="B91" s="12" t="s">
        <v>447</v>
      </c>
      <c r="C91" s="12" t="s">
        <v>448</v>
      </c>
      <c r="D91" s="12" t="s">
        <v>449</v>
      </c>
      <c r="E91" s="12" t="s">
        <v>450</v>
      </c>
      <c r="F91" s="13" t="s">
        <v>117</v>
      </c>
      <c r="G91" s="13" t="s">
        <v>7</v>
      </c>
      <c r="H91" s="13"/>
      <c r="I91" s="12"/>
      <c r="J91" s="12"/>
      <c r="K91" s="12"/>
    </row>
    <row r="92" customFormat="false" ht="15" hidden="false" customHeight="false" outlineLevel="0" collapsed="false">
      <c r="A92" s="10" t="s">
        <v>42</v>
      </c>
      <c r="B92" s="10" t="s">
        <v>451</v>
      </c>
      <c r="C92" s="10" t="s">
        <v>452</v>
      </c>
      <c r="D92" s="10" t="s">
        <v>453</v>
      </c>
      <c r="E92" s="10" t="s">
        <v>454</v>
      </c>
      <c r="F92" s="11" t="s">
        <v>117</v>
      </c>
      <c r="G92" s="11" t="s">
        <v>7</v>
      </c>
      <c r="H92" s="11"/>
      <c r="I92" s="10"/>
      <c r="J92" s="10"/>
      <c r="K92" s="10"/>
    </row>
    <row r="93" customFormat="false" ht="28.35" hidden="false" customHeight="false" outlineLevel="0" collapsed="false">
      <c r="A93" s="12" t="s">
        <v>44</v>
      </c>
      <c r="B93" s="12" t="s">
        <v>455</v>
      </c>
      <c r="C93" s="12" t="s">
        <v>456</v>
      </c>
      <c r="D93" s="12" t="s">
        <v>457</v>
      </c>
      <c r="E93" s="12" t="s">
        <v>458</v>
      </c>
      <c r="F93" s="20" t="s">
        <v>99</v>
      </c>
      <c r="G93" s="13" t="s">
        <v>7</v>
      </c>
      <c r="H93" s="13"/>
      <c r="I93" s="12"/>
      <c r="J93" s="12"/>
      <c r="K93" s="12"/>
    </row>
    <row r="94" customFormat="false" ht="28.35" hidden="false" customHeight="false" outlineLevel="0" collapsed="false">
      <c r="A94" s="10" t="s">
        <v>44</v>
      </c>
      <c r="B94" s="10" t="s">
        <v>459</v>
      </c>
      <c r="C94" s="10" t="s">
        <v>460</v>
      </c>
      <c r="D94" s="10" t="s">
        <v>461</v>
      </c>
      <c r="E94" s="10" t="s">
        <v>462</v>
      </c>
      <c r="F94" s="20" t="s">
        <v>99</v>
      </c>
      <c r="G94" s="11" t="s">
        <v>7</v>
      </c>
      <c r="H94" s="11"/>
      <c r="I94" s="10"/>
      <c r="J94" s="10"/>
      <c r="K94" s="10"/>
    </row>
    <row r="95" customFormat="false" ht="15" hidden="false" customHeight="false" outlineLevel="0" collapsed="false">
      <c r="A95" s="12" t="s">
        <v>44</v>
      </c>
      <c r="B95" s="12" t="s">
        <v>463</v>
      </c>
      <c r="C95" s="12" t="s">
        <v>464</v>
      </c>
      <c r="D95" s="12" t="s">
        <v>465</v>
      </c>
      <c r="E95" s="12" t="s">
        <v>466</v>
      </c>
      <c r="F95" s="21" t="s">
        <v>108</v>
      </c>
      <c r="G95" s="13" t="s">
        <v>7</v>
      </c>
      <c r="H95" s="13"/>
      <c r="I95" s="12"/>
      <c r="J95" s="12"/>
      <c r="K95" s="12"/>
    </row>
    <row r="96" customFormat="false" ht="15" hidden="false" customHeight="false" outlineLevel="0" collapsed="false">
      <c r="A96" s="10" t="s">
        <v>44</v>
      </c>
      <c r="B96" s="10" t="s">
        <v>467</v>
      </c>
      <c r="C96" s="10" t="s">
        <v>468</v>
      </c>
      <c r="D96" s="10" t="s">
        <v>469</v>
      </c>
      <c r="E96" s="10" t="s">
        <v>470</v>
      </c>
      <c r="F96" s="20" t="s">
        <v>99</v>
      </c>
      <c r="G96" s="11" t="s">
        <v>7</v>
      </c>
      <c r="H96" s="11"/>
      <c r="I96" s="10"/>
      <c r="J96" s="10"/>
      <c r="K96" s="10"/>
    </row>
    <row r="97" customFormat="false" ht="15" hidden="false" customHeight="false" outlineLevel="0" collapsed="false">
      <c r="A97" s="12" t="s">
        <v>44</v>
      </c>
      <c r="B97" s="12" t="s">
        <v>471</v>
      </c>
      <c r="C97" s="12" t="s">
        <v>472</v>
      </c>
      <c r="D97" s="12" t="s">
        <v>473</v>
      </c>
      <c r="E97" s="12" t="s">
        <v>474</v>
      </c>
      <c r="F97" s="20" t="s">
        <v>99</v>
      </c>
      <c r="G97" s="13" t="s">
        <v>7</v>
      </c>
      <c r="H97" s="13"/>
      <c r="I97" s="12"/>
      <c r="J97" s="12"/>
      <c r="K97" s="12"/>
    </row>
    <row r="98" customFormat="false" ht="15" hidden="false" customHeight="false" outlineLevel="0" collapsed="false">
      <c r="A98" s="10" t="s">
        <v>44</v>
      </c>
      <c r="B98" s="10" t="s">
        <v>475</v>
      </c>
      <c r="C98" s="10" t="s">
        <v>476</v>
      </c>
      <c r="D98" s="10" t="s">
        <v>477</v>
      </c>
      <c r="E98" s="10" t="s">
        <v>478</v>
      </c>
      <c r="F98" s="21" t="s">
        <v>108</v>
      </c>
      <c r="G98" s="11" t="s">
        <v>7</v>
      </c>
      <c r="H98" s="11"/>
      <c r="I98" s="10"/>
      <c r="J98" s="10"/>
      <c r="K98" s="10"/>
    </row>
    <row r="99" customFormat="false" ht="15" hidden="false" customHeight="false" outlineLevel="0" collapsed="false">
      <c r="A99" s="12" t="s">
        <v>44</v>
      </c>
      <c r="B99" s="12" t="s">
        <v>479</v>
      </c>
      <c r="C99" s="12" t="s">
        <v>480</v>
      </c>
      <c r="D99" s="12" t="s">
        <v>481</v>
      </c>
      <c r="E99" s="12" t="s">
        <v>482</v>
      </c>
      <c r="F99" s="21" t="s">
        <v>108</v>
      </c>
      <c r="G99" s="13" t="s">
        <v>7</v>
      </c>
      <c r="H99" s="13"/>
      <c r="I99" s="12"/>
      <c r="J99" s="12"/>
      <c r="K99" s="12"/>
    </row>
    <row r="100" customFormat="false" ht="15" hidden="false" customHeight="false" outlineLevel="0" collapsed="false">
      <c r="A100" s="10" t="s">
        <v>44</v>
      </c>
      <c r="B100" s="10" t="s">
        <v>483</v>
      </c>
      <c r="C100" s="10" t="s">
        <v>484</v>
      </c>
      <c r="D100" s="10" t="s">
        <v>485</v>
      </c>
      <c r="E100" s="10" t="s">
        <v>486</v>
      </c>
      <c r="F100" s="21" t="s">
        <v>108</v>
      </c>
      <c r="G100" s="11" t="s">
        <v>7</v>
      </c>
      <c r="H100" s="11"/>
      <c r="I100" s="10"/>
      <c r="J100" s="10"/>
      <c r="K100" s="10"/>
    </row>
    <row r="101" customFormat="false" ht="15" hidden="false" customHeight="false" outlineLevel="0" collapsed="false">
      <c r="A101" s="12" t="s">
        <v>46</v>
      </c>
      <c r="B101" s="12" t="s">
        <v>487</v>
      </c>
      <c r="C101" s="12" t="s">
        <v>488</v>
      </c>
      <c r="D101" s="12" t="s">
        <v>489</v>
      </c>
      <c r="E101" s="12" t="s">
        <v>490</v>
      </c>
      <c r="F101" s="21" t="s">
        <v>108</v>
      </c>
      <c r="G101" s="13" t="s">
        <v>7</v>
      </c>
      <c r="H101" s="13"/>
      <c r="I101" s="12"/>
      <c r="J101" s="12"/>
      <c r="K101" s="12"/>
    </row>
    <row r="102" customFormat="false" ht="15" hidden="false" customHeight="false" outlineLevel="0" collapsed="false">
      <c r="A102" s="10" t="s">
        <v>46</v>
      </c>
      <c r="B102" s="10" t="s">
        <v>491</v>
      </c>
      <c r="C102" s="10" t="s">
        <v>492</v>
      </c>
      <c r="D102" s="10" t="s">
        <v>493</v>
      </c>
      <c r="E102" s="10" t="s">
        <v>494</v>
      </c>
      <c r="F102" s="21" t="s">
        <v>108</v>
      </c>
      <c r="G102" s="11" t="s">
        <v>7</v>
      </c>
      <c r="H102" s="11"/>
      <c r="I102" s="10"/>
      <c r="J102" s="10"/>
      <c r="K102" s="10"/>
    </row>
    <row r="103" customFormat="false" ht="15" hidden="false" customHeight="false" outlineLevel="0" collapsed="false">
      <c r="A103" s="12" t="s">
        <v>46</v>
      </c>
      <c r="B103" s="12" t="s">
        <v>495</v>
      </c>
      <c r="C103" s="12" t="s">
        <v>496</v>
      </c>
      <c r="D103" s="12" t="s">
        <v>497</v>
      </c>
      <c r="E103" s="12" t="s">
        <v>498</v>
      </c>
      <c r="F103" s="21" t="s">
        <v>108</v>
      </c>
      <c r="G103" s="13" t="s">
        <v>7</v>
      </c>
      <c r="H103" s="13"/>
      <c r="I103" s="12"/>
      <c r="J103" s="12"/>
      <c r="K103" s="12"/>
    </row>
    <row r="104" customFormat="false" ht="15" hidden="false" customHeight="false" outlineLevel="0" collapsed="false">
      <c r="A104" s="10" t="s">
        <v>48</v>
      </c>
      <c r="B104" s="10" t="s">
        <v>499</v>
      </c>
      <c r="C104" s="10" t="s">
        <v>500</v>
      </c>
      <c r="D104" s="10" t="s">
        <v>501</v>
      </c>
      <c r="E104" s="10" t="s">
        <v>502</v>
      </c>
      <c r="F104" s="20" t="s">
        <v>99</v>
      </c>
      <c r="G104" s="11" t="s">
        <v>7</v>
      </c>
      <c r="H104" s="11"/>
      <c r="I104" s="10"/>
      <c r="J104" s="10"/>
      <c r="K104" s="10"/>
    </row>
    <row r="105" customFormat="false" ht="15" hidden="false" customHeight="false" outlineLevel="0" collapsed="false">
      <c r="A105" s="12" t="s">
        <v>48</v>
      </c>
      <c r="B105" s="12" t="s">
        <v>503</v>
      </c>
      <c r="C105" s="12" t="s">
        <v>504</v>
      </c>
      <c r="D105" s="12" t="s">
        <v>505</v>
      </c>
      <c r="E105" s="12" t="s">
        <v>506</v>
      </c>
      <c r="F105" s="20" t="s">
        <v>99</v>
      </c>
      <c r="G105" s="13" t="s">
        <v>7</v>
      </c>
      <c r="H105" s="13"/>
      <c r="I105" s="12"/>
      <c r="J105" s="12"/>
      <c r="K105" s="12"/>
    </row>
    <row r="106" customFormat="false" ht="15" hidden="false" customHeight="false" outlineLevel="0" collapsed="false">
      <c r="A106" s="10" t="s">
        <v>48</v>
      </c>
      <c r="B106" s="10" t="s">
        <v>507</v>
      </c>
      <c r="C106" s="10" t="s">
        <v>508</v>
      </c>
      <c r="D106" s="10" t="s">
        <v>509</v>
      </c>
      <c r="E106" s="10" t="s">
        <v>510</v>
      </c>
      <c r="F106" s="21" t="s">
        <v>108</v>
      </c>
      <c r="G106" s="11" t="s">
        <v>7</v>
      </c>
      <c r="H106" s="11"/>
      <c r="I106" s="10"/>
      <c r="J106" s="10"/>
      <c r="K106" s="10"/>
    </row>
    <row r="107" customFormat="false" ht="15" hidden="false" customHeight="false" outlineLevel="0" collapsed="false">
      <c r="A107" s="12" t="s">
        <v>48</v>
      </c>
      <c r="B107" s="12" t="s">
        <v>511</v>
      </c>
      <c r="C107" s="12" t="s">
        <v>512</v>
      </c>
      <c r="D107" s="12" t="s">
        <v>513</v>
      </c>
      <c r="E107" s="12" t="s">
        <v>514</v>
      </c>
      <c r="F107" s="21" t="s">
        <v>108</v>
      </c>
      <c r="G107" s="13" t="s">
        <v>7</v>
      </c>
      <c r="H107" s="13"/>
      <c r="I107" s="12"/>
      <c r="J107" s="12"/>
      <c r="K107" s="12"/>
    </row>
    <row r="108" customFormat="false" ht="15" hidden="false" customHeight="false" outlineLevel="0" collapsed="false">
      <c r="A108" s="10" t="s">
        <v>48</v>
      </c>
      <c r="B108" s="10" t="s">
        <v>515</v>
      </c>
      <c r="C108" s="10" t="s">
        <v>516</v>
      </c>
      <c r="D108" s="10" t="s">
        <v>517</v>
      </c>
      <c r="E108" s="10" t="s">
        <v>518</v>
      </c>
      <c r="F108" s="21" t="s">
        <v>108</v>
      </c>
      <c r="G108" s="11" t="s">
        <v>7</v>
      </c>
      <c r="H108" s="11"/>
      <c r="I108" s="10"/>
      <c r="J108" s="10"/>
      <c r="K108" s="10"/>
    </row>
    <row r="109" customFormat="false" ht="15" hidden="false" customHeight="false" outlineLevel="0" collapsed="false">
      <c r="A109" s="12" t="s">
        <v>48</v>
      </c>
      <c r="B109" s="12" t="s">
        <v>519</v>
      </c>
      <c r="C109" s="12" t="s">
        <v>520</v>
      </c>
      <c r="D109" s="12" t="s">
        <v>521</v>
      </c>
      <c r="E109" s="12" t="s">
        <v>522</v>
      </c>
      <c r="F109" s="21" t="s">
        <v>108</v>
      </c>
      <c r="G109" s="13" t="s">
        <v>7</v>
      </c>
      <c r="H109" s="13"/>
      <c r="I109" s="12"/>
      <c r="J109" s="12"/>
      <c r="K109" s="12"/>
    </row>
    <row r="110" customFormat="false" ht="15" hidden="false" customHeight="false" outlineLevel="0" collapsed="false">
      <c r="A110" s="10" t="s">
        <v>48</v>
      </c>
      <c r="B110" s="10" t="s">
        <v>523</v>
      </c>
      <c r="C110" s="10" t="s">
        <v>524</v>
      </c>
      <c r="D110" s="10" t="s">
        <v>525</v>
      </c>
      <c r="E110" s="10" t="s">
        <v>526</v>
      </c>
      <c r="F110" s="20" t="s">
        <v>99</v>
      </c>
      <c r="G110" s="11" t="s">
        <v>7</v>
      </c>
      <c r="H110" s="11"/>
      <c r="I110" s="10"/>
      <c r="J110" s="10"/>
      <c r="K110" s="10"/>
    </row>
    <row r="111" customFormat="false" ht="15" hidden="false" customHeight="false" outlineLevel="0" collapsed="false">
      <c r="A111" s="12" t="s">
        <v>51</v>
      </c>
      <c r="B111" s="12" t="s">
        <v>527</v>
      </c>
      <c r="C111" s="12" t="s">
        <v>528</v>
      </c>
      <c r="D111" s="12" t="s">
        <v>529</v>
      </c>
      <c r="E111" s="12" t="s">
        <v>530</v>
      </c>
      <c r="F111" s="20" t="s">
        <v>99</v>
      </c>
      <c r="G111" s="13" t="s">
        <v>7</v>
      </c>
      <c r="H111" s="13"/>
      <c r="I111" s="12"/>
      <c r="J111" s="12"/>
      <c r="K111" s="12"/>
    </row>
    <row r="112" customFormat="false" ht="15" hidden="false" customHeight="false" outlineLevel="0" collapsed="false">
      <c r="A112" s="10" t="s">
        <v>51</v>
      </c>
      <c r="B112" s="10" t="s">
        <v>531</v>
      </c>
      <c r="C112" s="10" t="s">
        <v>532</v>
      </c>
      <c r="D112" s="10" t="s">
        <v>533</v>
      </c>
      <c r="E112" s="10" t="s">
        <v>534</v>
      </c>
      <c r="F112" s="20" t="s">
        <v>99</v>
      </c>
      <c r="G112" s="11" t="s">
        <v>7</v>
      </c>
      <c r="H112" s="11"/>
      <c r="I112" s="10"/>
      <c r="J112" s="10"/>
      <c r="K112" s="10"/>
    </row>
    <row r="113" customFormat="false" ht="28.35" hidden="false" customHeight="false" outlineLevel="0" collapsed="false">
      <c r="A113" s="12" t="s">
        <v>51</v>
      </c>
      <c r="B113" s="12" t="s">
        <v>535</v>
      </c>
      <c r="C113" s="12" t="s">
        <v>536</v>
      </c>
      <c r="D113" s="12" t="s">
        <v>537</v>
      </c>
      <c r="E113" s="12" t="s">
        <v>538</v>
      </c>
      <c r="F113" s="21" t="s">
        <v>108</v>
      </c>
      <c r="G113" s="13" t="s">
        <v>7</v>
      </c>
      <c r="H113" s="13"/>
      <c r="I113" s="12"/>
      <c r="J113" s="12"/>
      <c r="K113" s="12"/>
    </row>
    <row r="114" customFormat="false" ht="15" hidden="false" customHeight="false" outlineLevel="0" collapsed="false">
      <c r="A114" s="10" t="s">
        <v>51</v>
      </c>
      <c r="B114" s="10" t="s">
        <v>539</v>
      </c>
      <c r="C114" s="10" t="s">
        <v>540</v>
      </c>
      <c r="D114" s="10" t="s">
        <v>541</v>
      </c>
      <c r="E114" s="10" t="s">
        <v>542</v>
      </c>
      <c r="F114" s="21" t="s">
        <v>108</v>
      </c>
      <c r="G114" s="11" t="s">
        <v>7</v>
      </c>
      <c r="H114" s="11"/>
      <c r="I114" s="10"/>
      <c r="J114" s="10"/>
      <c r="K114" s="10"/>
    </row>
    <row r="115" customFormat="false" ht="15" hidden="false" customHeight="false" outlineLevel="0" collapsed="false">
      <c r="A115" s="12" t="s">
        <v>51</v>
      </c>
      <c r="B115" s="12" t="s">
        <v>543</v>
      </c>
      <c r="C115" s="12" t="s">
        <v>544</v>
      </c>
      <c r="D115" s="12" t="s">
        <v>545</v>
      </c>
      <c r="E115" s="12" t="s">
        <v>546</v>
      </c>
      <c r="F115" s="13" t="s">
        <v>117</v>
      </c>
      <c r="G115" s="13" t="s">
        <v>7</v>
      </c>
      <c r="H115" s="13"/>
      <c r="I115" s="12"/>
      <c r="J115" s="12"/>
      <c r="K115" s="12"/>
    </row>
    <row r="116" customFormat="false" ht="15" hidden="false" customHeight="false" outlineLevel="0" collapsed="false">
      <c r="A116" s="10" t="s">
        <v>54</v>
      </c>
      <c r="B116" s="10" t="s">
        <v>547</v>
      </c>
      <c r="C116" s="10" t="s">
        <v>548</v>
      </c>
      <c r="D116" s="10" t="s">
        <v>549</v>
      </c>
      <c r="E116" s="10" t="s">
        <v>550</v>
      </c>
      <c r="F116" s="21" t="s">
        <v>108</v>
      </c>
      <c r="G116" s="11" t="s">
        <v>7</v>
      </c>
      <c r="H116" s="11"/>
      <c r="I116" s="10"/>
      <c r="J116" s="10"/>
      <c r="K116" s="10"/>
    </row>
    <row r="117" customFormat="false" ht="15" hidden="false" customHeight="false" outlineLevel="0" collapsed="false">
      <c r="A117" s="12" t="s">
        <v>54</v>
      </c>
      <c r="B117" s="12" t="s">
        <v>551</v>
      </c>
      <c r="C117" s="12" t="s">
        <v>552</v>
      </c>
      <c r="D117" s="12" t="s">
        <v>553</v>
      </c>
      <c r="E117" s="12" t="s">
        <v>554</v>
      </c>
      <c r="F117" s="21" t="s">
        <v>108</v>
      </c>
      <c r="G117" s="13" t="s">
        <v>7</v>
      </c>
      <c r="H117" s="13"/>
      <c r="I117" s="12"/>
      <c r="J117" s="12"/>
      <c r="K117" s="12"/>
    </row>
    <row r="118" customFormat="false" ht="15" hidden="false" customHeight="false" outlineLevel="0" collapsed="false">
      <c r="A118" s="10" t="s">
        <v>54</v>
      </c>
      <c r="B118" s="10" t="s">
        <v>555</v>
      </c>
      <c r="C118" s="10" t="s">
        <v>556</v>
      </c>
      <c r="D118" s="10" t="s">
        <v>557</v>
      </c>
      <c r="E118" s="10" t="s">
        <v>558</v>
      </c>
      <c r="F118" s="11" t="s">
        <v>117</v>
      </c>
      <c r="G118" s="11" t="s">
        <v>7</v>
      </c>
      <c r="H118" s="11"/>
      <c r="I118" s="10"/>
      <c r="J118" s="10"/>
      <c r="K118" s="10"/>
    </row>
    <row r="119" customFormat="false" ht="15" hidden="false" customHeight="false" outlineLevel="0" collapsed="false">
      <c r="A119" s="12" t="s">
        <v>54</v>
      </c>
      <c r="B119" s="12" t="s">
        <v>559</v>
      </c>
      <c r="C119" s="12" t="s">
        <v>560</v>
      </c>
      <c r="D119" s="12" t="s">
        <v>561</v>
      </c>
      <c r="E119" s="12" t="s">
        <v>562</v>
      </c>
      <c r="F119" s="13" t="s">
        <v>117</v>
      </c>
      <c r="G119" s="13" t="s">
        <v>7</v>
      </c>
      <c r="H119" s="13"/>
      <c r="I119" s="12"/>
      <c r="J119" s="12"/>
      <c r="K119" s="12"/>
    </row>
    <row r="120" customFormat="false" ht="15" hidden="false" customHeight="false" outlineLevel="0" collapsed="false">
      <c r="A120" s="10" t="s">
        <v>563</v>
      </c>
      <c r="B120" s="10" t="s">
        <v>564</v>
      </c>
      <c r="C120" s="10" t="s">
        <v>565</v>
      </c>
      <c r="D120" s="10" t="s">
        <v>566</v>
      </c>
      <c r="E120" s="10" t="s">
        <v>567</v>
      </c>
      <c r="F120" s="21" t="s">
        <v>108</v>
      </c>
      <c r="G120" s="11" t="s">
        <v>7</v>
      </c>
      <c r="H120" s="11"/>
      <c r="I120" s="10"/>
      <c r="J120" s="10"/>
      <c r="K120" s="10"/>
    </row>
    <row r="121" customFormat="false" ht="15" hidden="false" customHeight="false" outlineLevel="0" collapsed="false">
      <c r="A121" s="12" t="s">
        <v>563</v>
      </c>
      <c r="B121" s="12" t="s">
        <v>568</v>
      </c>
      <c r="C121" s="12" t="s">
        <v>569</v>
      </c>
      <c r="D121" s="12" t="s">
        <v>570</v>
      </c>
      <c r="E121" s="12" t="s">
        <v>571</v>
      </c>
      <c r="F121" s="21" t="s">
        <v>108</v>
      </c>
      <c r="G121" s="13" t="s">
        <v>7</v>
      </c>
      <c r="H121" s="13"/>
      <c r="I121" s="12"/>
      <c r="J121" s="12"/>
      <c r="K121" s="12"/>
    </row>
    <row r="122" customFormat="false" ht="15" hidden="false" customHeight="false" outlineLevel="0" collapsed="false">
      <c r="A122" s="10" t="s">
        <v>563</v>
      </c>
      <c r="B122" s="10" t="s">
        <v>572</v>
      </c>
      <c r="C122" s="10" t="s">
        <v>573</v>
      </c>
      <c r="D122" s="10" t="s">
        <v>574</v>
      </c>
      <c r="E122" s="10" t="s">
        <v>575</v>
      </c>
      <c r="F122" s="21" t="s">
        <v>108</v>
      </c>
      <c r="G122" s="11" t="s">
        <v>7</v>
      </c>
      <c r="H122" s="11"/>
      <c r="I122" s="10"/>
      <c r="J122" s="10"/>
      <c r="K122" s="10"/>
    </row>
    <row r="123" customFormat="false" ht="15" hidden="false" customHeight="false" outlineLevel="0" collapsed="false">
      <c r="A123" s="0" t="s">
        <v>56</v>
      </c>
      <c r="B123" s="0" t="s">
        <v>576</v>
      </c>
      <c r="C123" s="0" t="s">
        <v>577</v>
      </c>
      <c r="D123" s="0" t="s">
        <v>578</v>
      </c>
      <c r="E123" s="0" t="s">
        <v>579</v>
      </c>
      <c r="F123" s="0" t="s">
        <v>99</v>
      </c>
      <c r="G123" s="0" t="s">
        <v>7</v>
      </c>
    </row>
    <row r="124" customFormat="false" ht="15" hidden="false" customHeight="false" outlineLevel="0" collapsed="false">
      <c r="A124" s="0" t="s">
        <v>56</v>
      </c>
      <c r="B124" s="0" t="s">
        <v>580</v>
      </c>
      <c r="C124" s="0" t="s">
        <v>581</v>
      </c>
      <c r="D124" s="0" t="s">
        <v>582</v>
      </c>
      <c r="E124" s="0" t="s">
        <v>583</v>
      </c>
      <c r="F124" s="0" t="s">
        <v>108</v>
      </c>
      <c r="G124" s="0" t="s">
        <v>7</v>
      </c>
    </row>
    <row r="125" customFormat="false" ht="15" hidden="false" customHeight="false" outlineLevel="0" collapsed="false">
      <c r="A125" s="0" t="s">
        <v>56</v>
      </c>
      <c r="B125" s="0" t="s">
        <v>584</v>
      </c>
      <c r="C125" s="0" t="s">
        <v>585</v>
      </c>
      <c r="D125" s="0" t="s">
        <v>586</v>
      </c>
      <c r="E125" s="0" t="s">
        <v>587</v>
      </c>
      <c r="F125" s="0" t="s">
        <v>108</v>
      </c>
      <c r="G125" s="0" t="s">
        <v>7</v>
      </c>
    </row>
    <row r="126" customFormat="false" ht="15" hidden="false" customHeight="false" outlineLevel="0" collapsed="false">
      <c r="A126" s="0" t="s">
        <v>56</v>
      </c>
      <c r="B126" s="0" t="s">
        <v>588</v>
      </c>
      <c r="C126" s="0" t="s">
        <v>589</v>
      </c>
      <c r="D126" s="0" t="s">
        <v>590</v>
      </c>
      <c r="E126" s="0" t="s">
        <v>591</v>
      </c>
      <c r="F126" s="0" t="s">
        <v>108</v>
      </c>
      <c r="G126" s="0" t="s">
        <v>7</v>
      </c>
    </row>
    <row r="127" customFormat="false" ht="15" hidden="false" customHeight="false" outlineLevel="0" collapsed="false">
      <c r="A127" s="0" t="s">
        <v>56</v>
      </c>
      <c r="B127" s="0" t="s">
        <v>592</v>
      </c>
      <c r="C127" s="0" t="s">
        <v>593</v>
      </c>
      <c r="D127" s="0" t="s">
        <v>594</v>
      </c>
      <c r="E127" s="0" t="s">
        <v>595</v>
      </c>
      <c r="F127" s="0" t="s">
        <v>99</v>
      </c>
      <c r="G127" s="0" t="s">
        <v>7</v>
      </c>
    </row>
    <row r="128" customFormat="false" ht="15" hidden="false" customHeight="false" outlineLevel="0" collapsed="false">
      <c r="A128" s="0" t="s">
        <v>61</v>
      </c>
      <c r="B128" s="0" t="s">
        <v>596</v>
      </c>
      <c r="C128" s="0" t="s">
        <v>597</v>
      </c>
      <c r="D128" s="0" t="s">
        <v>598</v>
      </c>
      <c r="E128" s="0" t="s">
        <v>599</v>
      </c>
      <c r="F128" s="0" t="s">
        <v>99</v>
      </c>
      <c r="G128" s="0" t="s">
        <v>7</v>
      </c>
    </row>
    <row r="129" customFormat="false" ht="15" hidden="false" customHeight="false" outlineLevel="0" collapsed="false">
      <c r="A129" s="0" t="s">
        <v>61</v>
      </c>
      <c r="B129" s="0" t="s">
        <v>600</v>
      </c>
      <c r="C129" s="0" t="s">
        <v>601</v>
      </c>
      <c r="D129" s="0" t="s">
        <v>602</v>
      </c>
      <c r="E129" s="0" t="s">
        <v>603</v>
      </c>
      <c r="F129" s="0" t="s">
        <v>99</v>
      </c>
      <c r="G129" s="0" t="s">
        <v>7</v>
      </c>
    </row>
    <row r="130" customFormat="false" ht="15" hidden="false" customHeight="false" outlineLevel="0" collapsed="false">
      <c r="A130" s="0" t="s">
        <v>61</v>
      </c>
      <c r="B130" s="0" t="s">
        <v>604</v>
      </c>
      <c r="C130" s="0" t="s">
        <v>605</v>
      </c>
      <c r="D130" s="0" t="s">
        <v>606</v>
      </c>
      <c r="E130" s="0" t="s">
        <v>607</v>
      </c>
      <c r="F130" s="0" t="s">
        <v>108</v>
      </c>
      <c r="G130" s="0" t="s">
        <v>7</v>
      </c>
    </row>
    <row r="131" customFormat="false" ht="15" hidden="false" customHeight="false" outlineLevel="0" collapsed="false">
      <c r="A131" s="0" t="s">
        <v>61</v>
      </c>
      <c r="B131" s="0" t="s">
        <v>608</v>
      </c>
      <c r="C131" s="0" t="s">
        <v>609</v>
      </c>
      <c r="D131" s="0" t="s">
        <v>610</v>
      </c>
      <c r="E131" s="0" t="s">
        <v>611</v>
      </c>
      <c r="F131" s="0" t="s">
        <v>108</v>
      </c>
      <c r="G131" s="0" t="s">
        <v>7</v>
      </c>
    </row>
    <row r="132" customFormat="false" ht="15" hidden="false" customHeight="false" outlineLevel="0" collapsed="false">
      <c r="A132" s="0" t="s">
        <v>61</v>
      </c>
      <c r="B132" s="0" t="s">
        <v>612</v>
      </c>
      <c r="C132" s="0" t="s">
        <v>613</v>
      </c>
      <c r="D132" s="0" t="s">
        <v>614</v>
      </c>
      <c r="E132" s="0" t="s">
        <v>615</v>
      </c>
      <c r="F132" s="0" t="s">
        <v>117</v>
      </c>
      <c r="G132" s="0" t="s">
        <v>7</v>
      </c>
    </row>
    <row r="133" customFormat="false" ht="15" hidden="false" customHeight="false" outlineLevel="0" collapsed="false">
      <c r="A133" s="0" t="s">
        <v>64</v>
      </c>
      <c r="B133" s="0" t="s">
        <v>616</v>
      </c>
      <c r="C133" s="0" t="s">
        <v>617</v>
      </c>
      <c r="D133" s="0" t="s">
        <v>618</v>
      </c>
      <c r="E133" s="0" t="s">
        <v>619</v>
      </c>
      <c r="F133" s="0" t="s">
        <v>108</v>
      </c>
      <c r="G133" s="0" t="s">
        <v>7</v>
      </c>
    </row>
    <row r="134" customFormat="false" ht="15" hidden="false" customHeight="false" outlineLevel="0" collapsed="false">
      <c r="A134" s="0" t="s">
        <v>64</v>
      </c>
      <c r="B134" s="0" t="s">
        <v>620</v>
      </c>
      <c r="C134" s="0" t="s">
        <v>621</v>
      </c>
      <c r="D134" s="0" t="s">
        <v>622</v>
      </c>
      <c r="E134" s="0" t="s">
        <v>623</v>
      </c>
      <c r="F134" s="0" t="s">
        <v>99</v>
      </c>
      <c r="G134" s="0" t="s">
        <v>7</v>
      </c>
    </row>
    <row r="135" customFormat="false" ht="15" hidden="false" customHeight="false" outlineLevel="0" collapsed="false">
      <c r="A135" s="0" t="s">
        <v>64</v>
      </c>
      <c r="B135" s="0" t="s">
        <v>624</v>
      </c>
      <c r="C135" s="0" t="s">
        <v>625</v>
      </c>
      <c r="D135" s="0" t="s">
        <v>626</v>
      </c>
      <c r="E135" s="0" t="s">
        <v>627</v>
      </c>
      <c r="F135" s="0" t="s">
        <v>108</v>
      </c>
      <c r="G135" s="0" t="s">
        <v>7</v>
      </c>
    </row>
    <row r="136" customFormat="false" ht="15" hidden="false" customHeight="false" outlineLevel="0" collapsed="false">
      <c r="A136" s="0" t="s">
        <v>64</v>
      </c>
      <c r="B136" s="0" t="s">
        <v>628</v>
      </c>
      <c r="C136" s="0" t="s">
        <v>629</v>
      </c>
      <c r="D136" s="0" t="s">
        <v>630</v>
      </c>
      <c r="E136" s="0" t="s">
        <v>631</v>
      </c>
      <c r="F136" s="0" t="s">
        <v>117</v>
      </c>
      <c r="G136" s="0" t="s">
        <v>7</v>
      </c>
    </row>
    <row r="137" customFormat="false" ht="15" hidden="false" customHeight="false" outlineLevel="0" collapsed="false">
      <c r="A137" s="0" t="s">
        <v>64</v>
      </c>
      <c r="B137" s="0" t="s">
        <v>632</v>
      </c>
      <c r="C137" s="0" t="s">
        <v>633</v>
      </c>
      <c r="D137" s="0" t="s">
        <v>634</v>
      </c>
      <c r="E137" s="0" t="s">
        <v>635</v>
      </c>
      <c r="F137" s="0" t="s">
        <v>108</v>
      </c>
      <c r="G137" s="0" t="s">
        <v>7</v>
      </c>
    </row>
    <row r="138" customFormat="false" ht="15" hidden="false" customHeight="false" outlineLevel="0" collapsed="false">
      <c r="A138" s="0" t="s">
        <v>66</v>
      </c>
      <c r="B138" s="0" t="s">
        <v>636</v>
      </c>
      <c r="C138" s="0" t="s">
        <v>637</v>
      </c>
      <c r="D138" s="0" t="s">
        <v>638</v>
      </c>
      <c r="E138" s="0" t="s">
        <v>639</v>
      </c>
      <c r="F138" s="0" t="s">
        <v>117</v>
      </c>
      <c r="G138" s="0" t="s">
        <v>7</v>
      </c>
    </row>
    <row r="139" customFormat="false" ht="15" hidden="false" customHeight="false" outlineLevel="0" collapsed="false">
      <c r="A139" s="0" t="s">
        <v>66</v>
      </c>
      <c r="B139" s="0" t="s">
        <v>640</v>
      </c>
      <c r="C139" s="0" t="s">
        <v>641</v>
      </c>
      <c r="D139" s="0" t="s">
        <v>642</v>
      </c>
      <c r="E139" s="0" t="s">
        <v>643</v>
      </c>
      <c r="F139" s="0" t="s">
        <v>117</v>
      </c>
      <c r="G139" s="0" t="s">
        <v>7</v>
      </c>
    </row>
    <row r="140" customFormat="false" ht="15" hidden="false" customHeight="false" outlineLevel="0" collapsed="false">
      <c r="A140" s="0" t="s">
        <v>66</v>
      </c>
      <c r="B140" s="0" t="s">
        <v>644</v>
      </c>
      <c r="C140" s="0" t="s">
        <v>645</v>
      </c>
      <c r="D140" s="0" t="s">
        <v>646</v>
      </c>
      <c r="E140" s="0" t="s">
        <v>647</v>
      </c>
      <c r="F140" s="0" t="s">
        <v>117</v>
      </c>
      <c r="G140" s="0" t="s">
        <v>7</v>
      </c>
    </row>
  </sheetData>
  <autoFilter ref="A3:K3"/>
  <mergeCells count="2">
    <mergeCell ref="A1:K1"/>
    <mergeCell ref="A2:K2"/>
  </mergeCells>
  <dataValidations count="1">
    <dataValidation allowBlank="true" error="Choisir un statut dans la liste" errorStyle="stop" errorTitle="Statut invalide" operator="between" showDropDown="false" showErrorMessage="false" showInputMessage="false" sqref="G4:G122" type="list">
      <formula1>"☐ À tester,✅ PASS,❌ FAIL,⚠️ PARTIEL,🚫 N/A"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F4444"/>
    <pageSetUpPr fitToPage="false"/>
  </sheetPr>
  <dimension ref="A1:I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2"/>
    <col collapsed="false" customWidth="true" hidden="false" outlineLevel="0" max="3" min="3" style="0" width="20"/>
    <col collapsed="false" customWidth="true" hidden="false" outlineLevel="0" max="4" min="4" style="0" width="40"/>
    <col collapsed="false" customWidth="true" hidden="false" outlineLevel="0" max="5" min="5" style="0" width="45"/>
    <col collapsed="false" customWidth="true" hidden="false" outlineLevel="0" max="7" min="6" style="0" width="12"/>
    <col collapsed="false" customWidth="true" hidden="false" outlineLevel="0" max="8" min="8" style="0" width="16"/>
    <col collapsed="false" customWidth="true" hidden="false" outlineLevel="0" max="9" min="9" style="0" width="14"/>
  </cols>
  <sheetData>
    <row r="1" customFormat="false" ht="34.5" hidden="false" customHeight="true" outlineLevel="0" collapsed="false">
      <c r="A1" s="1" t="s">
        <v>648</v>
      </c>
      <c r="B1" s="1"/>
      <c r="C1" s="1"/>
      <c r="D1" s="1"/>
      <c r="E1" s="1"/>
      <c r="F1" s="1"/>
      <c r="G1" s="1"/>
      <c r="H1" s="1"/>
      <c r="I1" s="1"/>
    </row>
    <row r="2" customFormat="false" ht="15" hidden="false" customHeight="true" outlineLevel="0" collapsed="false">
      <c r="A2" s="2" t="s">
        <v>649</v>
      </c>
      <c r="B2" s="2"/>
      <c r="C2" s="2"/>
      <c r="D2" s="2"/>
      <c r="E2" s="2"/>
      <c r="F2" s="2"/>
      <c r="G2" s="2"/>
      <c r="H2" s="2"/>
      <c r="I2" s="2"/>
    </row>
    <row r="3" customFormat="false" ht="15" hidden="false" customHeight="false" outlineLevel="0" collapsed="false">
      <c r="A3" s="3" t="s">
        <v>650</v>
      </c>
      <c r="B3" s="3" t="s">
        <v>651</v>
      </c>
      <c r="C3" s="3" t="s">
        <v>2</v>
      </c>
      <c r="D3" s="3" t="s">
        <v>652</v>
      </c>
      <c r="E3" s="3" t="s">
        <v>653</v>
      </c>
      <c r="F3" s="3" t="s">
        <v>654</v>
      </c>
      <c r="G3" s="3" t="s">
        <v>655</v>
      </c>
      <c r="H3" s="3" t="s">
        <v>656</v>
      </c>
      <c r="I3" s="3" t="s">
        <v>657</v>
      </c>
    </row>
    <row r="4" customFormat="false" ht="15" hidden="false" customHeight="false" outlineLevel="0" collapsed="false">
      <c r="A4" s="10" t="str">
        <f aca="false">IF(B4&lt;&gt;"",1,"")</f>
        <v/>
      </c>
      <c r="B4" s="10"/>
      <c r="C4" s="10"/>
      <c r="D4" s="10"/>
      <c r="E4" s="10"/>
      <c r="F4" s="10"/>
      <c r="G4" s="10"/>
      <c r="H4" s="10"/>
      <c r="I4" s="10"/>
    </row>
    <row r="5" customFormat="false" ht="15" hidden="false" customHeight="false" outlineLevel="0" collapsed="false">
      <c r="A5" s="12" t="str">
        <f aca="false">IF(B5&lt;&gt;"",2,"")</f>
        <v/>
      </c>
      <c r="B5" s="12"/>
      <c r="C5" s="12"/>
      <c r="D5" s="12"/>
      <c r="E5" s="12"/>
      <c r="F5" s="12"/>
      <c r="G5" s="12"/>
      <c r="H5" s="12"/>
      <c r="I5" s="12"/>
    </row>
    <row r="6" customFormat="false" ht="15" hidden="false" customHeight="false" outlineLevel="0" collapsed="false">
      <c r="A6" s="10" t="str">
        <f aca="false">IF(B6&lt;&gt;"",3,"")</f>
        <v/>
      </c>
      <c r="B6" s="10"/>
      <c r="C6" s="10"/>
      <c r="D6" s="10"/>
      <c r="E6" s="10"/>
      <c r="F6" s="10"/>
      <c r="G6" s="10"/>
      <c r="H6" s="10"/>
      <c r="I6" s="10"/>
    </row>
    <row r="7" customFormat="false" ht="15" hidden="false" customHeight="false" outlineLevel="0" collapsed="false">
      <c r="A7" s="12" t="str">
        <f aca="false">IF(B7&lt;&gt;"",4,"")</f>
        <v/>
      </c>
      <c r="B7" s="12"/>
      <c r="C7" s="12"/>
      <c r="D7" s="12"/>
      <c r="E7" s="12"/>
      <c r="F7" s="12"/>
      <c r="G7" s="12"/>
      <c r="H7" s="12"/>
      <c r="I7" s="12"/>
    </row>
    <row r="8" customFormat="false" ht="15" hidden="false" customHeight="false" outlineLevel="0" collapsed="false">
      <c r="A8" s="10" t="str">
        <f aca="false">IF(B8&lt;&gt;"",5,"")</f>
        <v/>
      </c>
      <c r="B8" s="10"/>
      <c r="C8" s="10"/>
      <c r="D8" s="10"/>
      <c r="E8" s="10"/>
      <c r="F8" s="10"/>
      <c r="G8" s="10"/>
      <c r="H8" s="10"/>
      <c r="I8" s="10"/>
    </row>
    <row r="9" customFormat="false" ht="15" hidden="false" customHeight="false" outlineLevel="0" collapsed="false">
      <c r="A9" s="12" t="str">
        <f aca="false">IF(B9&lt;&gt;"",6,"")</f>
        <v/>
      </c>
      <c r="B9" s="12"/>
      <c r="C9" s="12"/>
      <c r="D9" s="12"/>
      <c r="E9" s="12"/>
      <c r="F9" s="12"/>
      <c r="G9" s="12"/>
      <c r="H9" s="12"/>
      <c r="I9" s="12"/>
    </row>
    <row r="10" customFormat="false" ht="15" hidden="false" customHeight="false" outlineLevel="0" collapsed="false">
      <c r="A10" s="10" t="str">
        <f aca="false">IF(B10&lt;&gt;"",7,"")</f>
        <v/>
      </c>
      <c r="B10" s="10"/>
      <c r="C10" s="10"/>
      <c r="D10" s="10"/>
      <c r="E10" s="10"/>
      <c r="F10" s="10"/>
      <c r="G10" s="10"/>
      <c r="H10" s="10"/>
      <c r="I10" s="10"/>
    </row>
    <row r="11" customFormat="false" ht="15" hidden="false" customHeight="false" outlineLevel="0" collapsed="false">
      <c r="A11" s="12" t="str">
        <f aca="false">IF(B11&lt;&gt;"",8,"")</f>
        <v/>
      </c>
      <c r="B11" s="12"/>
      <c r="C11" s="12"/>
      <c r="D11" s="12"/>
      <c r="E11" s="12"/>
      <c r="F11" s="12"/>
      <c r="G11" s="12"/>
      <c r="H11" s="12"/>
      <c r="I11" s="12"/>
    </row>
    <row r="12" customFormat="false" ht="15" hidden="false" customHeight="false" outlineLevel="0" collapsed="false">
      <c r="A12" s="10" t="str">
        <f aca="false">IF(B12&lt;&gt;"",9,"")</f>
        <v/>
      </c>
      <c r="B12" s="10"/>
      <c r="C12" s="10"/>
      <c r="D12" s="10"/>
      <c r="E12" s="10"/>
      <c r="F12" s="10"/>
      <c r="G12" s="10"/>
      <c r="H12" s="10"/>
      <c r="I12" s="10"/>
    </row>
    <row r="13" customFormat="false" ht="15" hidden="false" customHeight="false" outlineLevel="0" collapsed="false">
      <c r="A13" s="12" t="str">
        <f aca="false">IF(B13&lt;&gt;"",10,"")</f>
        <v/>
      </c>
      <c r="B13" s="12"/>
      <c r="C13" s="12"/>
      <c r="D13" s="12"/>
      <c r="E13" s="12"/>
      <c r="F13" s="12"/>
      <c r="G13" s="12"/>
      <c r="H13" s="12"/>
      <c r="I13" s="12"/>
    </row>
    <row r="14" customFormat="false" ht="15" hidden="false" customHeight="false" outlineLevel="0" collapsed="false">
      <c r="A14" s="10" t="str">
        <f aca="false">IF(B14&lt;&gt;"",11,"")</f>
        <v/>
      </c>
      <c r="B14" s="10"/>
      <c r="C14" s="10"/>
      <c r="D14" s="10"/>
      <c r="E14" s="10"/>
      <c r="F14" s="10"/>
      <c r="G14" s="10"/>
      <c r="H14" s="10"/>
      <c r="I14" s="10"/>
    </row>
    <row r="15" customFormat="false" ht="15" hidden="false" customHeight="false" outlineLevel="0" collapsed="false">
      <c r="A15" s="12" t="str">
        <f aca="false">IF(B15&lt;&gt;"",12,"")</f>
        <v/>
      </c>
      <c r="B15" s="12"/>
      <c r="C15" s="12"/>
      <c r="D15" s="12"/>
      <c r="E15" s="12"/>
      <c r="F15" s="12"/>
      <c r="G15" s="12"/>
      <c r="H15" s="12"/>
      <c r="I15" s="12"/>
    </row>
    <row r="16" customFormat="false" ht="15" hidden="false" customHeight="false" outlineLevel="0" collapsed="false">
      <c r="A16" s="10" t="str">
        <f aca="false">IF(B16&lt;&gt;"",13,"")</f>
        <v/>
      </c>
      <c r="B16" s="10"/>
      <c r="C16" s="10"/>
      <c r="D16" s="10"/>
      <c r="E16" s="10"/>
      <c r="F16" s="10"/>
      <c r="G16" s="10"/>
      <c r="H16" s="10"/>
      <c r="I16" s="10"/>
    </row>
    <row r="17" customFormat="false" ht="15" hidden="false" customHeight="false" outlineLevel="0" collapsed="false">
      <c r="A17" s="12" t="str">
        <f aca="false">IF(B17&lt;&gt;"",14,"")</f>
        <v/>
      </c>
      <c r="B17" s="12"/>
      <c r="C17" s="12"/>
      <c r="D17" s="12"/>
      <c r="E17" s="12"/>
      <c r="F17" s="12"/>
      <c r="G17" s="12"/>
      <c r="H17" s="12"/>
      <c r="I17" s="12"/>
    </row>
    <row r="18" customFormat="false" ht="15" hidden="false" customHeight="false" outlineLevel="0" collapsed="false">
      <c r="A18" s="10" t="str">
        <f aca="false">IF(B18&lt;&gt;"",15,"")</f>
        <v/>
      </c>
      <c r="B18" s="10"/>
      <c r="C18" s="10"/>
      <c r="D18" s="10"/>
      <c r="E18" s="10"/>
      <c r="F18" s="10"/>
      <c r="G18" s="10"/>
      <c r="H18" s="10"/>
      <c r="I18" s="10"/>
    </row>
    <row r="19" customFormat="false" ht="15" hidden="false" customHeight="false" outlineLevel="0" collapsed="false">
      <c r="A19" s="12" t="str">
        <f aca="false">IF(B19&lt;&gt;"",16,"")</f>
        <v/>
      </c>
      <c r="B19" s="12"/>
      <c r="C19" s="12"/>
      <c r="D19" s="12"/>
      <c r="E19" s="12"/>
      <c r="F19" s="12"/>
      <c r="G19" s="12"/>
      <c r="H19" s="12"/>
      <c r="I19" s="12"/>
    </row>
    <row r="20" customFormat="false" ht="15" hidden="false" customHeight="false" outlineLevel="0" collapsed="false">
      <c r="A20" s="10" t="str">
        <f aca="false">IF(B20&lt;&gt;"",17,"")</f>
        <v/>
      </c>
      <c r="B20" s="10"/>
      <c r="C20" s="10"/>
      <c r="D20" s="10"/>
      <c r="E20" s="10"/>
      <c r="F20" s="10"/>
      <c r="G20" s="10"/>
      <c r="H20" s="10"/>
      <c r="I20" s="10"/>
    </row>
    <row r="21" customFormat="false" ht="15" hidden="false" customHeight="false" outlineLevel="0" collapsed="false">
      <c r="A21" s="12" t="str">
        <f aca="false">IF(B21&lt;&gt;"",18,"")</f>
        <v/>
      </c>
      <c r="B21" s="12"/>
      <c r="C21" s="12"/>
      <c r="D21" s="12"/>
      <c r="E21" s="12"/>
      <c r="F21" s="12"/>
      <c r="G21" s="12"/>
      <c r="H21" s="12"/>
      <c r="I21" s="12"/>
    </row>
    <row r="22" customFormat="false" ht="15" hidden="false" customHeight="false" outlineLevel="0" collapsed="false">
      <c r="A22" s="10" t="str">
        <f aca="false">IF(B22&lt;&gt;"",19,"")</f>
        <v/>
      </c>
      <c r="B22" s="10"/>
      <c r="C22" s="10"/>
      <c r="D22" s="10"/>
      <c r="E22" s="10"/>
      <c r="F22" s="10"/>
      <c r="G22" s="10"/>
      <c r="H22" s="10"/>
      <c r="I22" s="10"/>
    </row>
    <row r="23" customFormat="false" ht="15" hidden="false" customHeight="false" outlineLevel="0" collapsed="false">
      <c r="A23" s="12" t="str">
        <f aca="false">IF(B23&lt;&gt;"",20,"")</f>
        <v/>
      </c>
      <c r="B23" s="12"/>
      <c r="C23" s="12"/>
      <c r="D23" s="12"/>
      <c r="E23" s="12"/>
      <c r="F23" s="12"/>
      <c r="G23" s="12"/>
      <c r="H23" s="12"/>
      <c r="I23" s="12"/>
    </row>
    <row r="24" customFormat="false" ht="15" hidden="false" customHeight="false" outlineLevel="0" collapsed="false">
      <c r="A24" s="10" t="str">
        <f aca="false">IF(B24&lt;&gt;"",21,"")</f>
        <v/>
      </c>
      <c r="B24" s="10"/>
      <c r="C24" s="10"/>
      <c r="D24" s="10"/>
      <c r="E24" s="10"/>
      <c r="F24" s="10"/>
      <c r="G24" s="10"/>
      <c r="H24" s="10"/>
      <c r="I24" s="10"/>
    </row>
    <row r="25" customFormat="false" ht="15" hidden="false" customHeight="false" outlineLevel="0" collapsed="false">
      <c r="A25" s="12" t="str">
        <f aca="false">IF(B25&lt;&gt;"",22,"")</f>
        <v/>
      </c>
      <c r="B25" s="12"/>
      <c r="C25" s="12"/>
      <c r="D25" s="12"/>
      <c r="E25" s="12"/>
      <c r="F25" s="12"/>
      <c r="G25" s="12"/>
      <c r="H25" s="12"/>
      <c r="I25" s="12"/>
    </row>
    <row r="26" customFormat="false" ht="15" hidden="false" customHeight="false" outlineLevel="0" collapsed="false">
      <c r="A26" s="10" t="str">
        <f aca="false">IF(B26&lt;&gt;"",23,"")</f>
        <v/>
      </c>
      <c r="B26" s="10"/>
      <c r="C26" s="10"/>
      <c r="D26" s="10"/>
      <c r="E26" s="10"/>
      <c r="F26" s="10"/>
      <c r="G26" s="10"/>
      <c r="H26" s="10"/>
      <c r="I26" s="10"/>
    </row>
    <row r="27" customFormat="false" ht="15" hidden="false" customHeight="false" outlineLevel="0" collapsed="false">
      <c r="A27" s="12" t="str">
        <f aca="false">IF(B27&lt;&gt;"",24,"")</f>
        <v/>
      </c>
      <c r="B27" s="12"/>
      <c r="C27" s="12"/>
      <c r="D27" s="12"/>
      <c r="E27" s="12"/>
      <c r="F27" s="12"/>
      <c r="G27" s="12"/>
      <c r="H27" s="12"/>
      <c r="I27" s="12"/>
    </row>
    <row r="28" customFormat="false" ht="15" hidden="false" customHeight="false" outlineLevel="0" collapsed="false">
      <c r="A28" s="10" t="str">
        <f aca="false">IF(B28&lt;&gt;"",25,"")</f>
        <v/>
      </c>
      <c r="B28" s="10"/>
      <c r="C28" s="10"/>
      <c r="D28" s="10"/>
      <c r="E28" s="10"/>
      <c r="F28" s="10"/>
      <c r="G28" s="10"/>
      <c r="H28" s="10"/>
      <c r="I28" s="10"/>
    </row>
    <row r="29" customFormat="false" ht="15" hidden="false" customHeight="false" outlineLevel="0" collapsed="false">
      <c r="A29" s="12" t="str">
        <f aca="false">IF(B29&lt;&gt;"",26,"")</f>
        <v/>
      </c>
      <c r="B29" s="12"/>
      <c r="C29" s="12"/>
      <c r="D29" s="12"/>
      <c r="E29" s="12"/>
      <c r="F29" s="12"/>
      <c r="G29" s="12"/>
      <c r="H29" s="12"/>
      <c r="I29" s="12"/>
    </row>
    <row r="30" customFormat="false" ht="15" hidden="false" customHeight="false" outlineLevel="0" collapsed="false">
      <c r="A30" s="10" t="str">
        <f aca="false">IF(B30&lt;&gt;"",27,"")</f>
        <v/>
      </c>
      <c r="B30" s="10"/>
      <c r="C30" s="10"/>
      <c r="D30" s="10"/>
      <c r="E30" s="10"/>
      <c r="F30" s="10"/>
      <c r="G30" s="10"/>
      <c r="H30" s="10"/>
      <c r="I30" s="10"/>
    </row>
    <row r="31" customFormat="false" ht="15" hidden="false" customHeight="false" outlineLevel="0" collapsed="false">
      <c r="A31" s="12" t="str">
        <f aca="false">IF(B31&lt;&gt;"",28,"")</f>
        <v/>
      </c>
      <c r="B31" s="12"/>
      <c r="C31" s="12"/>
      <c r="D31" s="12"/>
      <c r="E31" s="12"/>
      <c r="F31" s="12"/>
      <c r="G31" s="12"/>
      <c r="H31" s="12"/>
      <c r="I31" s="12"/>
    </row>
    <row r="32" customFormat="false" ht="15" hidden="false" customHeight="false" outlineLevel="0" collapsed="false">
      <c r="A32" s="10" t="str">
        <f aca="false">IF(B32&lt;&gt;"",29,"")</f>
        <v/>
      </c>
      <c r="B32" s="10"/>
      <c r="C32" s="10"/>
      <c r="D32" s="10"/>
      <c r="E32" s="10"/>
      <c r="F32" s="10"/>
      <c r="G32" s="10"/>
      <c r="H32" s="10"/>
      <c r="I32" s="10"/>
    </row>
    <row r="33" customFormat="false" ht="15" hidden="false" customHeight="false" outlineLevel="0" collapsed="false">
      <c r="A33" s="12" t="str">
        <f aca="false">IF(B33&lt;&gt;"",30,"")</f>
        <v/>
      </c>
      <c r="B33" s="12"/>
      <c r="C33" s="12"/>
      <c r="D33" s="12"/>
      <c r="E33" s="12"/>
      <c r="F33" s="12"/>
      <c r="G33" s="12"/>
      <c r="H33" s="12"/>
      <c r="I33" s="12"/>
    </row>
    <row r="34" customFormat="false" ht="15" hidden="false" customHeight="false" outlineLevel="0" collapsed="false">
      <c r="A34" s="10" t="str">
        <f aca="false">IF(B34&lt;&gt;"",31,"")</f>
        <v/>
      </c>
      <c r="B34" s="10"/>
      <c r="C34" s="10"/>
      <c r="D34" s="10"/>
      <c r="E34" s="10"/>
      <c r="F34" s="10"/>
      <c r="G34" s="10"/>
      <c r="H34" s="10"/>
      <c r="I34" s="10"/>
    </row>
    <row r="35" customFormat="false" ht="15" hidden="false" customHeight="false" outlineLevel="0" collapsed="false">
      <c r="A35" s="12" t="str">
        <f aca="false">IF(B35&lt;&gt;"",32,"")</f>
        <v/>
      </c>
      <c r="B35" s="12"/>
      <c r="C35" s="12"/>
      <c r="D35" s="12"/>
      <c r="E35" s="12"/>
      <c r="F35" s="12"/>
      <c r="G35" s="12"/>
      <c r="H35" s="12"/>
      <c r="I35" s="12"/>
    </row>
    <row r="36" customFormat="false" ht="15" hidden="false" customHeight="false" outlineLevel="0" collapsed="false">
      <c r="A36" s="10" t="str">
        <f aca="false">IF(B36&lt;&gt;"",33,"")</f>
        <v/>
      </c>
      <c r="B36" s="10"/>
      <c r="C36" s="10"/>
      <c r="D36" s="10"/>
      <c r="E36" s="10"/>
      <c r="F36" s="10"/>
      <c r="G36" s="10"/>
      <c r="H36" s="10"/>
      <c r="I36" s="10"/>
    </row>
    <row r="37" customFormat="false" ht="15" hidden="false" customHeight="false" outlineLevel="0" collapsed="false">
      <c r="A37" s="12" t="str">
        <f aca="false">IF(B37&lt;&gt;"",34,"")</f>
        <v/>
      </c>
      <c r="B37" s="12"/>
      <c r="C37" s="12"/>
      <c r="D37" s="12"/>
      <c r="E37" s="12"/>
      <c r="F37" s="12"/>
      <c r="G37" s="12"/>
      <c r="H37" s="12"/>
      <c r="I37" s="12"/>
    </row>
    <row r="38" customFormat="false" ht="15" hidden="false" customHeight="false" outlineLevel="0" collapsed="false">
      <c r="A38" s="10" t="str">
        <f aca="false">IF(B38&lt;&gt;"",35,"")</f>
        <v/>
      </c>
      <c r="B38" s="10"/>
      <c r="C38" s="10"/>
      <c r="D38" s="10"/>
      <c r="E38" s="10"/>
      <c r="F38" s="10"/>
      <c r="G38" s="10"/>
      <c r="H38" s="10"/>
      <c r="I38" s="10"/>
    </row>
    <row r="39" customFormat="false" ht="15" hidden="false" customHeight="false" outlineLevel="0" collapsed="false">
      <c r="A39" s="12" t="str">
        <f aca="false">IF(B39&lt;&gt;"",36,"")</f>
        <v/>
      </c>
      <c r="B39" s="12"/>
      <c r="C39" s="12"/>
      <c r="D39" s="12"/>
      <c r="E39" s="12"/>
      <c r="F39" s="12"/>
      <c r="G39" s="12"/>
      <c r="H39" s="12"/>
      <c r="I39" s="12"/>
    </row>
    <row r="40" customFormat="false" ht="15" hidden="false" customHeight="false" outlineLevel="0" collapsed="false">
      <c r="A40" s="10" t="str">
        <f aca="false">IF(B40&lt;&gt;"",37,"")</f>
        <v/>
      </c>
      <c r="B40" s="10"/>
      <c r="C40" s="10"/>
      <c r="D40" s="10"/>
      <c r="E40" s="10"/>
      <c r="F40" s="10"/>
      <c r="G40" s="10"/>
      <c r="H40" s="10"/>
      <c r="I40" s="10"/>
    </row>
    <row r="41" customFormat="false" ht="15" hidden="false" customHeight="false" outlineLevel="0" collapsed="false">
      <c r="A41" s="12" t="str">
        <f aca="false">IF(B41&lt;&gt;"",38,"")</f>
        <v/>
      </c>
      <c r="B41" s="12"/>
      <c r="C41" s="12"/>
      <c r="D41" s="12"/>
      <c r="E41" s="12"/>
      <c r="F41" s="12"/>
      <c r="G41" s="12"/>
      <c r="H41" s="12"/>
      <c r="I41" s="12"/>
    </row>
    <row r="42" customFormat="false" ht="15" hidden="false" customHeight="false" outlineLevel="0" collapsed="false">
      <c r="A42" s="10" t="str">
        <f aca="false">IF(B42&lt;&gt;"",39,"")</f>
        <v/>
      </c>
      <c r="B42" s="10"/>
      <c r="C42" s="10"/>
      <c r="D42" s="10"/>
      <c r="E42" s="10"/>
      <c r="F42" s="10"/>
      <c r="G42" s="10"/>
      <c r="H42" s="10"/>
      <c r="I42" s="10"/>
    </row>
    <row r="43" customFormat="false" ht="15" hidden="false" customHeight="false" outlineLevel="0" collapsed="false">
      <c r="A43" s="12" t="str">
        <f aca="false">IF(B43&lt;&gt;"",40,"")</f>
        <v/>
      </c>
      <c r="B43" s="12"/>
      <c r="C43" s="12"/>
      <c r="D43" s="12"/>
      <c r="E43" s="12"/>
      <c r="F43" s="12"/>
      <c r="G43" s="12"/>
      <c r="H43" s="12"/>
      <c r="I43" s="12"/>
    </row>
    <row r="44" customFormat="false" ht="15" hidden="false" customHeight="false" outlineLevel="0" collapsed="false">
      <c r="A44" s="10" t="str">
        <f aca="false">IF(B44&lt;&gt;"",41,"")</f>
        <v/>
      </c>
      <c r="B44" s="10"/>
      <c r="C44" s="10"/>
      <c r="D44" s="10"/>
      <c r="E44" s="10"/>
      <c r="F44" s="10"/>
      <c r="G44" s="10"/>
      <c r="H44" s="10"/>
      <c r="I44" s="10"/>
    </row>
    <row r="45" customFormat="false" ht="15" hidden="false" customHeight="false" outlineLevel="0" collapsed="false">
      <c r="A45" s="12" t="str">
        <f aca="false">IF(B45&lt;&gt;"",42,"")</f>
        <v/>
      </c>
      <c r="B45" s="12"/>
      <c r="C45" s="12"/>
      <c r="D45" s="12"/>
      <c r="E45" s="12"/>
      <c r="F45" s="12"/>
      <c r="G45" s="12"/>
      <c r="H45" s="12"/>
      <c r="I45" s="12"/>
    </row>
    <row r="46" customFormat="false" ht="15" hidden="false" customHeight="false" outlineLevel="0" collapsed="false">
      <c r="A46" s="10" t="str">
        <f aca="false">IF(B46&lt;&gt;"",43,"")</f>
        <v/>
      </c>
      <c r="B46" s="10"/>
      <c r="C46" s="10"/>
      <c r="D46" s="10"/>
      <c r="E46" s="10"/>
      <c r="F46" s="10"/>
      <c r="G46" s="10"/>
      <c r="H46" s="10"/>
      <c r="I46" s="10"/>
    </row>
    <row r="47" customFormat="false" ht="15" hidden="false" customHeight="false" outlineLevel="0" collapsed="false">
      <c r="A47" s="12" t="str">
        <f aca="false">IF(B47&lt;&gt;"",44,"")</f>
        <v/>
      </c>
      <c r="B47" s="12"/>
      <c r="C47" s="12"/>
      <c r="D47" s="12"/>
      <c r="E47" s="12"/>
      <c r="F47" s="12"/>
      <c r="G47" s="12"/>
      <c r="H47" s="12"/>
      <c r="I47" s="12"/>
    </row>
    <row r="48" customFormat="false" ht="15" hidden="false" customHeight="false" outlineLevel="0" collapsed="false">
      <c r="A48" s="10" t="str">
        <f aca="false">IF(B48&lt;&gt;"",45,"")</f>
        <v/>
      </c>
      <c r="B48" s="10"/>
      <c r="C48" s="10"/>
      <c r="D48" s="10"/>
      <c r="E48" s="10"/>
      <c r="F48" s="10"/>
      <c r="G48" s="10"/>
      <c r="H48" s="10"/>
      <c r="I48" s="10"/>
    </row>
    <row r="49" customFormat="false" ht="15" hidden="false" customHeight="false" outlineLevel="0" collapsed="false">
      <c r="A49" s="12" t="str">
        <f aca="false">IF(B49&lt;&gt;"",46,"")</f>
        <v/>
      </c>
      <c r="B49" s="12"/>
      <c r="C49" s="12"/>
      <c r="D49" s="12"/>
      <c r="E49" s="12"/>
      <c r="F49" s="12"/>
      <c r="G49" s="12"/>
      <c r="H49" s="12"/>
      <c r="I49" s="12"/>
    </row>
    <row r="50" customFormat="false" ht="15" hidden="false" customHeight="false" outlineLevel="0" collapsed="false">
      <c r="A50" s="10" t="str">
        <f aca="false">IF(B50&lt;&gt;"",47,"")</f>
        <v/>
      </c>
      <c r="B50" s="10"/>
      <c r="C50" s="10"/>
      <c r="D50" s="10"/>
      <c r="E50" s="10"/>
      <c r="F50" s="10"/>
      <c r="G50" s="10"/>
      <c r="H50" s="10"/>
      <c r="I50" s="10"/>
    </row>
    <row r="51" customFormat="false" ht="15" hidden="false" customHeight="false" outlineLevel="0" collapsed="false">
      <c r="A51" s="12" t="str">
        <f aca="false">IF(B51&lt;&gt;"",48,"")</f>
        <v/>
      </c>
      <c r="B51" s="12"/>
      <c r="C51" s="12"/>
      <c r="D51" s="12"/>
      <c r="E51" s="12"/>
      <c r="F51" s="12"/>
      <c r="G51" s="12"/>
      <c r="H51" s="12"/>
      <c r="I51" s="12"/>
    </row>
    <row r="52" customFormat="false" ht="15" hidden="false" customHeight="false" outlineLevel="0" collapsed="false">
      <c r="A52" s="10" t="str">
        <f aca="false">IF(B52&lt;&gt;"",49,"")</f>
        <v/>
      </c>
      <c r="B52" s="10"/>
      <c r="C52" s="10"/>
      <c r="D52" s="10"/>
      <c r="E52" s="10"/>
      <c r="F52" s="10"/>
      <c r="G52" s="10"/>
      <c r="H52" s="10"/>
      <c r="I52" s="10"/>
    </row>
    <row r="53" customFormat="false" ht="15" hidden="false" customHeight="false" outlineLevel="0" collapsed="false">
      <c r="A53" s="12" t="str">
        <f aca="false">IF(B53&lt;&gt;"",50,"")</f>
        <v/>
      </c>
      <c r="B53" s="12"/>
      <c r="C53" s="12"/>
      <c r="D53" s="12"/>
      <c r="E53" s="12"/>
      <c r="F53" s="12"/>
      <c r="G53" s="12"/>
      <c r="H53" s="12"/>
      <c r="I53" s="12"/>
    </row>
  </sheetData>
  <autoFilter ref="A3:I3"/>
  <mergeCells count="2">
    <mergeCell ref="A1:I1"/>
    <mergeCell ref="A2:I2"/>
  </mergeCells>
  <dataValidations count="3">
    <dataValidation allowBlank="true" errorStyle="stop" operator="between" showDropDown="false" showErrorMessage="false" showInputMessage="false" sqref="F4:F53" type="list">
      <formula1>"BUG,EVOLUTION,QUESTION,BLOQUANT"</formula1>
      <formula2>0</formula2>
    </dataValidation>
    <dataValidation allowBlank="true" errorStyle="stop" operator="between" showDropDown="false" showErrorMessage="false" showInputMessage="false" sqref="G4:G53" type="list">
      <formula1>"CRITIQUE,HAUTE,NORMALE,BASSE"</formula1>
      <formula2>0</formula2>
    </dataValidation>
    <dataValidation allowBlank="true" errorStyle="stop" operator="between" showDropDown="false" showErrorMessage="false" showInputMessage="false" sqref="H4:H53" type="list">
      <formula1>"OUVERT,EN COURS,CORRIGÉ,REPORTÉ,FERMÉ"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3B82F6"/>
    <pageSetUpPr fitToPage="false"/>
  </sheetPr>
  <dimension ref="A1:C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25"/>
    <col collapsed="false" customWidth="true" hidden="false" outlineLevel="0" max="2" min="2" style="0" width="40"/>
    <col collapsed="false" customWidth="true" hidden="false" outlineLevel="0" max="3" min="3" style="0" width="50"/>
  </cols>
  <sheetData>
    <row r="1" customFormat="false" ht="34.5" hidden="false" customHeight="true" outlineLevel="0" collapsed="false">
      <c r="A1" s="1" t="s">
        <v>658</v>
      </c>
      <c r="B1" s="1"/>
      <c r="C1" s="1"/>
    </row>
    <row r="2" customFormat="false" ht="15" hidden="false" customHeight="false" outlineLevel="0" collapsed="false">
      <c r="A2" s="17"/>
      <c r="B2" s="22"/>
      <c r="C2" s="19"/>
    </row>
    <row r="3" customFormat="false" ht="15" hidden="false" customHeight="false" outlineLevel="0" collapsed="false">
      <c r="A3" s="16" t="s">
        <v>659</v>
      </c>
    </row>
    <row r="4" customFormat="false" ht="15" hidden="false" customHeight="false" outlineLevel="0" collapsed="false">
      <c r="A4" s="17"/>
      <c r="B4" s="22" t="s">
        <v>660</v>
      </c>
      <c r="C4" s="19" t="s">
        <v>661</v>
      </c>
    </row>
    <row r="5" customFormat="false" ht="15" hidden="false" customHeight="false" outlineLevel="0" collapsed="false">
      <c r="A5" s="17"/>
      <c r="B5" s="22" t="s">
        <v>662</v>
      </c>
      <c r="C5" s="19" t="s">
        <v>663</v>
      </c>
    </row>
    <row r="6" customFormat="false" ht="15" hidden="false" customHeight="false" outlineLevel="0" collapsed="false">
      <c r="A6" s="17"/>
      <c r="B6" s="22" t="s">
        <v>664</v>
      </c>
      <c r="C6" s="19" t="s">
        <v>665</v>
      </c>
    </row>
    <row r="7" customFormat="false" ht="15" hidden="false" customHeight="false" outlineLevel="0" collapsed="false">
      <c r="A7" s="17"/>
      <c r="B7" s="22" t="s">
        <v>666</v>
      </c>
      <c r="C7" s="19" t="s">
        <v>667</v>
      </c>
    </row>
    <row r="8" customFormat="false" ht="15" hidden="false" customHeight="false" outlineLevel="0" collapsed="false">
      <c r="A8" s="17"/>
      <c r="B8" s="22" t="s">
        <v>668</v>
      </c>
      <c r="C8" s="19" t="s">
        <v>669</v>
      </c>
    </row>
    <row r="9" customFormat="false" ht="15" hidden="false" customHeight="false" outlineLevel="0" collapsed="false">
      <c r="A9" s="17"/>
      <c r="B9" s="22" t="s">
        <v>670</v>
      </c>
      <c r="C9" s="19" t="s">
        <v>671</v>
      </c>
    </row>
    <row r="10" customFormat="false" ht="15" hidden="false" customHeight="false" outlineLevel="0" collapsed="false">
      <c r="A10" s="17"/>
      <c r="B10" s="22" t="s">
        <v>672</v>
      </c>
      <c r="C10" s="19" t="s">
        <v>673</v>
      </c>
    </row>
    <row r="11" customFormat="false" ht="15" hidden="false" customHeight="false" outlineLevel="0" collapsed="false">
      <c r="A11" s="17"/>
      <c r="B11" s="22" t="s">
        <v>674</v>
      </c>
      <c r="C11" s="19" t="s">
        <v>675</v>
      </c>
    </row>
    <row r="12" customFormat="false" ht="15" hidden="false" customHeight="false" outlineLevel="0" collapsed="false">
      <c r="A12" s="17"/>
      <c r="B12" s="22"/>
      <c r="C12" s="19"/>
    </row>
    <row r="13" customFormat="false" ht="15" hidden="false" customHeight="false" outlineLevel="0" collapsed="false">
      <c r="A13" s="16" t="s">
        <v>676</v>
      </c>
    </row>
    <row r="14" customFormat="false" ht="15" hidden="false" customHeight="false" outlineLevel="0" collapsed="false">
      <c r="A14" s="17"/>
      <c r="B14" s="22" t="s">
        <v>677</v>
      </c>
      <c r="C14" s="19" t="s">
        <v>678</v>
      </c>
    </row>
    <row r="15" customFormat="false" ht="15" hidden="false" customHeight="false" outlineLevel="0" collapsed="false">
      <c r="A15" s="17"/>
      <c r="B15" s="22" t="s">
        <v>8</v>
      </c>
      <c r="C15" s="19" t="s">
        <v>679</v>
      </c>
    </row>
    <row r="16" customFormat="false" ht="15" hidden="false" customHeight="false" outlineLevel="0" collapsed="false">
      <c r="A16" s="17"/>
      <c r="B16" s="22" t="s">
        <v>680</v>
      </c>
      <c r="C16" s="19" t="s">
        <v>681</v>
      </c>
    </row>
    <row r="17" customFormat="false" ht="15" hidden="false" customHeight="false" outlineLevel="0" collapsed="false">
      <c r="A17" s="17"/>
      <c r="B17" s="22"/>
      <c r="C17" s="19"/>
    </row>
    <row r="18" customFormat="false" ht="15" hidden="false" customHeight="false" outlineLevel="0" collapsed="false">
      <c r="A18" s="16" t="s">
        <v>682</v>
      </c>
    </row>
    <row r="19" customFormat="false" ht="15" hidden="false" customHeight="false" outlineLevel="0" collapsed="false">
      <c r="A19" s="17"/>
      <c r="B19" s="22" t="s">
        <v>99</v>
      </c>
      <c r="C19" s="19" t="s">
        <v>683</v>
      </c>
    </row>
    <row r="20" customFormat="false" ht="15" hidden="false" customHeight="false" outlineLevel="0" collapsed="false">
      <c r="A20" s="17"/>
      <c r="B20" s="22" t="s">
        <v>108</v>
      </c>
      <c r="C20" s="19" t="s">
        <v>684</v>
      </c>
    </row>
    <row r="21" customFormat="false" ht="15" hidden="false" customHeight="false" outlineLevel="0" collapsed="false">
      <c r="A21" s="17"/>
      <c r="B21" s="22" t="s">
        <v>117</v>
      </c>
      <c r="C21" s="19" t="s">
        <v>685</v>
      </c>
    </row>
    <row r="22" customFormat="false" ht="15" hidden="false" customHeight="false" outlineLevel="0" collapsed="false">
      <c r="A22" s="17"/>
      <c r="B22" s="22" t="s">
        <v>686</v>
      </c>
      <c r="C22" s="19" t="s">
        <v>687</v>
      </c>
    </row>
    <row r="23" customFormat="false" ht="15" hidden="false" customHeight="false" outlineLevel="0" collapsed="false">
      <c r="A23" s="17"/>
      <c r="B23" s="22"/>
      <c r="C23" s="19"/>
    </row>
    <row r="24" customFormat="false" ht="15" hidden="false" customHeight="false" outlineLevel="0" collapsed="false">
      <c r="A24" s="16" t="s">
        <v>75</v>
      </c>
    </row>
    <row r="25" customFormat="false" ht="15" hidden="false" customHeight="false" outlineLevel="0" collapsed="false">
      <c r="A25" s="17"/>
      <c r="B25" s="22" t="s">
        <v>76</v>
      </c>
      <c r="C25" s="19" t="s">
        <v>77</v>
      </c>
    </row>
    <row r="26" customFormat="false" ht="15" hidden="false" customHeight="false" outlineLevel="0" collapsed="false">
      <c r="A26" s="17"/>
      <c r="B26" s="22" t="s">
        <v>78</v>
      </c>
      <c r="C26" s="19" t="s">
        <v>79</v>
      </c>
    </row>
    <row r="27" customFormat="false" ht="15" hidden="false" customHeight="false" outlineLevel="0" collapsed="false">
      <c r="A27" s="17"/>
      <c r="B27" s="22" t="s">
        <v>80</v>
      </c>
      <c r="C27" s="19" t="s">
        <v>688</v>
      </c>
    </row>
  </sheetData>
  <mergeCells count="1">
    <mergeCell ref="A1:C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1458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2026-03-24T09:54:19Z</dcterms:created>
  <dc:creator>openpyxl</dc:creator>
  <dc:description/>
  <dc:language>fr-FR</dc:language>
  <cp:lastModifiedBy/>
  <dcterms:modified xsi:type="dcterms:W3CDTF">2026-03-30T20:36:10Z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